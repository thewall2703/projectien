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cript" sheetId="1" r:id="rId5"/>
    <sheet state="hidden" name="Deck" sheetId="2" r:id="rId6"/>
    <sheet state="visible" name="00 Read Me" sheetId="3" r:id="rId7"/>
    <sheet state="visible" name="01 Axes" sheetId="4" r:id="rId8"/>
    <sheet state="visible" name="02 Modules" sheetId="5" r:id="rId9"/>
    <sheet state="visible" name="03 Script Matrix" sheetId="6" r:id="rId10"/>
    <sheet state="visible" name="04 Deck Matrix" sheetId="7" r:id="rId11"/>
    <sheet state="visible" name="05 Video Matrix" sheetId="8" r:id="rId12"/>
    <sheet state="visible" name="06 Photo Matrix" sheetId="9" r:id="rId13"/>
    <sheet state="visible" name="07 Report Matrix" sheetId="10" r:id="rId14"/>
    <sheet state="visible" name="08 Locked Facts" sheetId="11" r:id="rId15"/>
    <sheet state="visible" name="09 Objection Pack" sheetId="12" r:id="rId16"/>
    <sheet state="visible" name="Videos  Photos  Reports"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tc={cc36a5f1-3a3a-4801-816b-774bea1f519f}</author>
  </authors>
  <commentList>
    <comment authorId="0" xr:uid="{cc36a5f1-3a3a-4801-816b-774bea1f519f}" ref="B2">
      <text>
        <t xml:space="preserve">[Threaded comment]
 Your version of Excel allows you to read this threaded comment; however, any edits to it will get removed if the file is opened in a newer version of Excel. Learn more: https://go.microsoft.com/fwlink/?linkid=870924
Comment:
	@sudeep.purwar@mastersunion.org the best way to do this is to scrape our entire YT and Instagram (all our channels) and tag them on the back end using different heads for use cases. 
For eg. 
Brand Film 
Perf Ad 
Student building a startup - built at mu video 
etc etc. 
This way it will much easier for the tool to scrape and provide data on the front end
Assigned to sudeep.purwar@mastersunion.org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tc={585e031b-30ce-4ce1-af3e-2acfc97a5432}</author>
  </authors>
  <commentList>
    <comment authorId="0" xr:uid="{585e031b-30ce-4ce1-af3e-2acfc97a5432}" ref="A1">
      <text>
        <t xml:space="preserve">[Threaded comment]
 Your version of Excel allows you to read this threaded comment; however, any edits to it will get removed if the file is opened in a newer version of Excel. Learn more: https://go.microsoft.com/fwlink/?linkid=870924
Comment:
	Finding all possible use cases and having not more than 20 pictures each for every use case - 
This activity was already done like 50-60% by Ayushi for the Prospectus. We can just expand on it and complete it. @sudeep.purwar@mastersunion.org 
Scrapping the entire drive every single time is going to take a lot of tokens
Assigned to sudeep.purwar@mastersunion.org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tc={6ee72060-2738-41cc-8ce0-87f617f288ce}</author>
  </authors>
  <commentList>
    <comment authorId="0" xr:uid="{6ee72060-2738-41cc-8ce0-87f617f288ce}" ref="B2">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this is what I'd like you to do - 
Segment reports + brochures across the org in different ways. 
1. UG-PG-Exec-Central Functions - audit whatever you have from the data collection activity that Ananya did across the above 4 departments. See if it covers everything. I'm sure it wouldn't. 
2. Shoot a fresh mail to all decision makers across UG-PG-Exec-CF to submit all the reports, brochures, PDFs ever made by them by Monday EOD -= have Gautam in CC for this along with me. 
3. Once you receive all of these - make a directory here where you have solved for navigation. I'm proposing one here - 
1. No. 
2. Report/Document Name :
3. Published Year : 2020-2026
4. Published by Dept : UG,PG, Exec. CF (write all CF departments alag alag) 
5. Link of the report 
6. Audience of the report (already there in the existing sheet)
Assigned to mrittika.maitra@mastersunion.org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tc={057d0ac9-0054-4c1d-bd70-0a52cb621520}</author>
    <author>tc={3cf338c3-8e9f-4e5e-bf26-6bd64b9beb32}</author>
    <author>tc={7589313b-7b5a-4f8f-96a9-78fdb8b1e461}</author>
    <author>tc={ad743d0c-7195-46cf-bcde-43c5aaa315c8}</author>
    <author>tc={bcc71376-93b2-4c69-bbac-563f1da94be3}</author>
    <author>tc={f51e8985-3954-48b0-8cda-6744030fde15}</author>
  </authors>
  <commentList>
    <comment authorId="0" xr:uid="{057d0ac9-0054-4c1d-bd70-0a52cb621520}" ref="A21">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1" xr:uid="{3cf338c3-8e9f-4e5e-bf26-6bd64b9beb32}" ref="A20">
      <text>
        <t xml:space="preserve">[Threaded comment]
 Your version of Excel allows you to read this threaded comment; however, any edits to it will get removed if the file is opened in a newer version of Excel. Learn more: https://go.microsoft.com/fwlink/?linkid=870924
Comment:
	Ishika has this
Reply:
	not live yet, she'll send it to me when its ready
</t>
      </text>
    </comment>
    <comment authorId="2" xr:uid="{7589313b-7b5a-4f8f-96a9-78fdb8b1e461}" ref="A7">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devansh has this
Reply:
	not live on youtube, will upload unlist and link
</t>
      </text>
    </comment>
    <comment authorId="3" xr:uid="{ad743d0c-7195-46cf-bcde-43c5aaa315c8}" ref="A4">
      <text>
        <t xml:space="preserve">[Threaded comment]
 Your version of Excel allows you to read this threaded comment; however, any edits to it will get removed if the file is opened in a newer version of Excel. Learn more: https://go.microsoft.com/fwlink/?linkid=870924
Comment:
	@mrittika.maitra@mastersunion.org Devansh has this
</t>
      </text>
    </comment>
    <comment authorId="4" xr:uid="{bcc71376-93b2-4c69-bbac-563f1da94be3}" ref="A16">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 authorId="5" xr:uid="{f51e8985-3954-48b0-8cda-6744030fde15}" ref="A22">
      <text>
        <t xml:space="preserve">[Threaded comment]
 Your version of Excel allows you to read this threaded comment; however, any edits to it will get removed if the file is opened in a newer version of Excel. Learn more: https://go.microsoft.com/fwlink/?linkid=870924
Comment:
	Live on YT
</t>
      </text>
    </comment>
  </commentList>
</comments>
</file>

<file path=xl/sharedStrings.xml><?xml version="1.0" encoding="utf-8"?>
<sst xmlns="http://schemas.openxmlformats.org/spreadsheetml/2006/main" count="1694" uniqueCount="1011">
  <si>
    <t>Masters' Union — One Company, One Story</t>
  </si>
  <si>
    <t>Use Cases of Deck</t>
  </si>
  <si>
    <t>Use Cases of Script</t>
  </si>
  <si>
    <t>Script, deck and asset architecture · Structure v2 (MECE rebuild)</t>
  </si>
  <si>
    <t>Axis</t>
  </si>
  <si>
    <t>Google Slides</t>
  </si>
  <si>
    <t>PDF</t>
  </si>
  <si>
    <t>Figma</t>
  </si>
  <si>
    <t>Master Deck</t>
  </si>
  <si>
    <t>Disposition</t>
  </si>
  <si>
    <t>Interests/ Concern</t>
  </si>
  <si>
    <t>Script</t>
  </si>
  <si>
    <t>Video</t>
  </si>
  <si>
    <t>In 1 Min</t>
  </si>
  <si>
    <t>Code</t>
  </si>
  <si>
    <t>Value</t>
  </si>
  <si>
    <t>Definition / note</t>
  </si>
  <si>
    <t>1. Audience cluster</t>
  </si>
  <si>
    <t>The architecture (three layers)</t>
  </si>
  <si>
    <t>In 2 Mins</t>
  </si>
  <si>
    <t>Deck for Placements Team for Recruiters</t>
  </si>
  <si>
    <t>In 5 Mins</t>
  </si>
  <si>
    <t>Deck for PG/UG/Exec student AMA</t>
  </si>
  <si>
    <t xml:space="preserve">In 10 Mins </t>
  </si>
  <si>
    <t>Deck for parents meet</t>
  </si>
  <si>
    <t xml:space="preserve">Deck for getting faculties onboard </t>
  </si>
  <si>
    <t xml:space="preserve">To Parents (UG) </t>
  </si>
  <si>
    <t>To School students for UG</t>
  </si>
  <si>
    <t>To a 23 year old for PG</t>
  </si>
  <si>
    <t>To a 30 year old for Exec</t>
  </si>
  <si>
    <t>To a Family Business 2nd gen entrepreneur</t>
  </si>
  <si>
    <t xml:space="preserve">To a PGP Bharat aspirant </t>
  </si>
  <si>
    <t>A</t>
  </si>
  <si>
    <t>Demand</t>
  </si>
  <si>
    <t>People who might enrol, and the people who decide alongside them</t>
  </si>
  <si>
    <t>Layer 0 — The Canon</t>
  </si>
  <si>
    <t>One document. The complete, sourced account of Masters' Union. Nobody ever delivers it verbatim. Everything below is derived from it. Owned by Brand. Version-controlled.</t>
  </si>
  <si>
    <t>Layer 1 — The Modules</t>
  </si>
  <si>
    <t>14 story blocks (tab 02). Every sentence anyone says about Masters' Union belongs to exactly one module. This is where MECE actually lives.</t>
  </si>
  <si>
    <t>Layer 2 — The Recipes</t>
  </si>
  <si>
    <t>Each script is not prose. It is a module sequence with a word budget and a lock/flex marking. 'Parent, 2 min, phone, no assets' = M01 → M04 → M05 → M07 → M13 → M14, 280 words, three locked sentences.</t>
  </si>
  <si>
    <t>B</t>
  </si>
  <si>
    <t>Talent</t>
  </si>
  <si>
    <t>Lock and Flex — the mechanism that makes 1500 people consistent</t>
  </si>
  <si>
    <t>People who might work here or teach here</t>
  </si>
  <si>
    <t>LOCKED</t>
  </si>
  <si>
    <t>C</t>
  </si>
  <si>
    <t>Sentences that must be said verbatim. Every number, every institutional fact, every honest disclosure. Roughly 15–20% of any script. These are the source of truth.</t>
  </si>
  <si>
    <t>Capital</t>
  </si>
  <si>
    <t>People who might fund the institution or its funds</t>
  </si>
  <si>
    <t>FLEX</t>
  </si>
  <si>
    <t>Everything else. Beats, not prose. A salesperson in Indore and a founder on stage should sound like different people telling the same story — not the same person reading the same paragraph.</t>
  </si>
  <si>
    <t>D</t>
  </si>
  <si>
    <t>Commercial</t>
  </si>
  <si>
    <t>People who might hire from, buy from, or partner with us</t>
  </si>
  <si>
    <t>Why this works</t>
  </si>
  <si>
    <t>Scripting people word-for-word fails at scale because nobody memorises prose. Scripting the SEQUENCE and locking only the FACTS is what actually holds. It is also the only version that survives a number changing — you reissue one locked line, not sixty documents.</t>
  </si>
  <si>
    <t>E</t>
  </si>
  <si>
    <t>Institutional</t>
  </si>
  <si>
    <t>People who legitimise, regulate, accredit or rank us</t>
  </si>
  <si>
    <t>F</t>
  </si>
  <si>
    <t>How to use the tabs</t>
  </si>
  <si>
    <t>Public</t>
  </si>
  <si>
    <t>People who carry the story onward — press, creators, alumni, social</t>
  </si>
  <si>
    <t>01 Axes</t>
  </si>
  <si>
    <t>The five MECE dimensions. Any script, deck or asset is a coordinate in this space.</t>
  </si>
  <si>
    <t>2. Duration</t>
  </si>
  <si>
    <t>T0</t>
  </si>
  <si>
    <t>30 seconds</t>
  </si>
  <si>
    <t>The lift. One sentence plus one proof. Every employee must have this.</t>
  </si>
  <si>
    <t>02 Modules</t>
  </si>
  <si>
    <t>The 14 story blocks. Write these once, properly. This is the real work.</t>
  </si>
  <si>
    <t>T1</t>
  </si>
  <si>
    <t>2 minutes</t>
  </si>
  <si>
    <t>The standard answer. The single highest-volume script in the company.</t>
  </si>
  <si>
    <t>03 Script Matrix</t>
  </si>
  <si>
    <t>The full use-case universe with build priority and module recipe.</t>
  </si>
  <si>
    <t>T2</t>
  </si>
  <si>
    <t>5 minutes</t>
  </si>
  <si>
    <t>The coffee conversation. Room for one full proof block.</t>
  </si>
  <si>
    <t>04 Deck Matrix</t>
  </si>
  <si>
    <t>Every deck that should exist, and which modules it draws from.</t>
  </si>
  <si>
    <t>T3</t>
  </si>
  <si>
    <t>10 minutes</t>
  </si>
  <si>
    <t>05 Video Matrix</t>
  </si>
  <si>
    <t>The seated pitch. Proof plus mechanism plus objection.</t>
  </si>
  <si>
    <t>Videos organised by the job they do, not by the shoot that produced them.</t>
  </si>
  <si>
    <t>T4</t>
  </si>
  <si>
    <t>06 Photo Matrix</t>
  </si>
  <si>
    <t>30 minutes</t>
  </si>
  <si>
    <t>Photography organised by what each image has to prove.</t>
  </si>
  <si>
    <t>Deck-led session. Assets carry structure; script carries voice.</t>
  </si>
  <si>
    <t>07 Report Matrix</t>
  </si>
  <si>
    <t>T5</t>
  </si>
  <si>
    <t>Reports organised by what they verify.</t>
  </si>
  <si>
    <t>90 minutes</t>
  </si>
  <si>
    <t>Campus walkthrough. The building is the asset; script is a route plus stops.</t>
  </si>
  <si>
    <t>08 Locked Facts</t>
  </si>
  <si>
    <t>The numbers register. Read this before anyone writes a word.</t>
  </si>
  <si>
    <t>3. Channel</t>
  </si>
  <si>
    <t>CH1</t>
  </si>
  <si>
    <t>Voice only</t>
  </si>
  <si>
    <t>09 Objection Pack</t>
  </si>
  <si>
    <t>Phone call. No visuals. Hardest constraint — everything must be sayable.</t>
  </si>
  <si>
    <t>The 12 hardest questions and the agreed answer. Module 13 in full.</t>
  </si>
  <si>
    <t>CH2</t>
  </si>
  <si>
    <t>In person, no assets</t>
  </si>
  <si>
    <t>Corridor, event floor, dinner table.</t>
  </si>
  <si>
    <t>Status of the two pre-writing blockers</t>
  </si>
  <si>
    <t>CH3</t>
  </si>
  <si>
    <t>With deck</t>
  </si>
  <si>
    <t>1. University status — RESOLVED</t>
  </si>
  <si>
    <t>In person or video call, screen or printed deck.</t>
  </si>
  <si>
    <t>Haryana has passed the bill. Masters' Union University is the institution. This is now the single largest asset in the story and it rewrites Module 02, Module 13 and the whole of the objection pack. It also creates three new questions that did not exist last month — see tab 09, items 1 to 4. Those must be answered before any script ships, because 1,500 people will be asked them within a week.</t>
  </si>
  <si>
    <t>CH4</t>
  </si>
  <si>
    <t>Campus walkthrough</t>
  </si>
  <si>
    <t>Physical space does the proving. Script is a route, not a monologue.</t>
  </si>
  <si>
    <t>2. Faculty mix — RESOLVED</t>
  </si>
  <si>
    <t>40 practitioners / 30 full-time PhD faculty / 30 visiting international. Confirm the mapping is that way round (tab 08) and the Homepage Brief's 50/30/20 line is corrected before the agency sets it in type.</t>
  </si>
  <si>
    <t>CH5</t>
  </si>
  <si>
    <t>Written</t>
  </si>
  <si>
    <t>Email, WhatsApp, LinkedIn. Read not heard — different rhythm, shorter sentences.</t>
  </si>
  <si>
    <t>3. Still open — the numbers</t>
  </si>
  <si>
    <t>CH6</t>
  </si>
  <si>
    <t>Venture count and value are stated two different ways. Jobs created is stated two different ways. Revenue methodology is mixed. Employee headcount and current acceptance rate have no published source. See tab 08. If 1,500 people start quoting these, the conflicts become public.</t>
  </si>
  <si>
    <t>Stage</t>
  </si>
  <si>
    <t>Podium, panel, convocation, conference. One-to-many, no dialogue.</t>
  </si>
  <si>
    <t>The new decision the bill creates</t>
  </si>
  <si>
    <t>CH7</t>
  </si>
  <si>
    <t>Camera</t>
  </si>
  <si>
    <t>Recorded or broadcast. Every word is permanent and quotable.</t>
  </si>
  <si>
    <t>The naming rule</t>
  </si>
  <si>
    <t>Is the brand 'Masters' Union' with 'University' used only in institutional and regulatory contexts, or is it 'Masters' Union University' everywhere — signature, deck, ad, hoarding, phone call? This is exactly the kind of question that produces 1,500 versions if it is not answered in one line. Answer it before the scripts, not after. Whatever is decided goes into the brand guidelines the same day.</t>
  </si>
  <si>
    <t>4. Intent</t>
  </si>
  <si>
    <t>I1</t>
  </si>
  <si>
    <t>Inform</t>
  </si>
  <si>
    <t>They do not know what this is.</t>
  </si>
  <si>
    <t>I2</t>
  </si>
  <si>
    <t>Persuade</t>
  </si>
  <si>
    <t>They know what it is and are deciding.</t>
  </si>
  <si>
    <t>I3</t>
  </si>
  <si>
    <t>Defend</t>
  </si>
  <si>
    <t>They have an objection, spoken or unspoken.</t>
  </si>
  <si>
    <t>I4</t>
  </si>
  <si>
    <t>Recruit</t>
  </si>
  <si>
    <t>We want them to join — as student, employee or faculty.</t>
  </si>
  <si>
    <t>I5</t>
  </si>
  <si>
    <t>Transact</t>
  </si>
  <si>
    <t>We want them to buy, partner, hire or fund.</t>
  </si>
  <si>
    <t>I6</t>
  </si>
  <si>
    <t>Represent</t>
  </si>
  <si>
    <t>Formal or institutional. We are on the record.</t>
  </si>
  <si>
    <t>5. Temperature</t>
  </si>
  <si>
    <t>X1</t>
  </si>
  <si>
    <t>Cold</t>
  </si>
  <si>
    <t>Never heard of us.</t>
  </si>
  <si>
    <t>X2</t>
  </si>
  <si>
    <t>Warm</t>
  </si>
  <si>
    <t>Heard of us. Curious, possibly sceptical.</t>
  </si>
  <si>
    <t>X3</t>
  </si>
  <si>
    <t>Hot</t>
  </si>
  <si>
    <t>Actively evaluating. Comparing against named alternatives.</t>
  </si>
  <si>
    <t>X4</t>
  </si>
  <si>
    <t>Closing</t>
  </si>
  <si>
    <t>Ready, but has one blocker left.</t>
  </si>
  <si>
    <t>X5</t>
  </si>
  <si>
    <t>Post-decision</t>
  </si>
  <si>
    <t>Already in. Now needs to be able to tell the story themselves.</t>
  </si>
  <si>
    <t>ID</t>
  </si>
  <si>
    <t>Ref</t>
  </si>
  <si>
    <t>Module</t>
  </si>
  <si>
    <t>Audience</t>
  </si>
  <si>
    <t>The job it does</t>
  </si>
  <si>
    <t>Core content (from existing assets)</t>
  </si>
  <si>
    <t>Audience Cluster</t>
  </si>
  <si>
    <t>Primary source</t>
  </si>
  <si>
    <t>Owner</t>
  </si>
  <si>
    <t>M01</t>
  </si>
  <si>
    <t>Origin</t>
  </si>
  <si>
    <t>Answers 'why does this exist' before answering 'what is it'</t>
  </si>
  <si>
    <t>Medical students learn from doctors, in hospitals, with real patients. Why should business be different. Founded 2020, opened a campus when everyone else went online. 60 students then, 2,500+ now.</t>
  </si>
  <si>
    <t>Brand Deck p2–7, p16–17</t>
  </si>
  <si>
    <t>Brand</t>
  </si>
  <si>
    <t>M02</t>
  </si>
  <si>
    <t>Institution</t>
  </si>
  <si>
    <t>Establishes that this is a real institution, not a bootcamp</t>
  </si>
  <si>
    <t>Masters' Union University. Bill passed by the Government of Haryana. What that means and what it changes. Board of Governors — Kohli, Gambhir, Bansal. EFMD, AACSB, BGA, BSIS, NSDC. Rankings. Campus at DLF Cyberpark, Gurugram.</t>
  </si>
  <si>
    <t>Haryana bill; Prospectus p9–14; Brand Deck p11</t>
  </si>
  <si>
    <t>Deck</t>
  </si>
  <si>
    <t>Brand + Legal</t>
  </si>
  <si>
    <t>Who it is for</t>
  </si>
  <si>
    <t>Length</t>
  </si>
  <si>
    <t>M03</t>
  </si>
  <si>
    <t>Model</t>
  </si>
  <si>
    <t>Modules drawn from</t>
  </si>
  <si>
    <t>Explains how learning works here in one breath</t>
  </si>
  <si>
    <t>Inclass, Outclass, Immersions. Half the teaching is done by people currently running businesses.</t>
  </si>
  <si>
    <t>Format</t>
  </si>
  <si>
    <t>Brand Deck p20</t>
  </si>
  <si>
    <t>Priority</t>
  </si>
  <si>
    <t>Academics</t>
  </si>
  <si>
    <t>Status</t>
  </si>
  <si>
    <t>M04</t>
  </si>
  <si>
    <t>Sequence</t>
  </si>
  <si>
    <t>D-01</t>
  </si>
  <si>
    <t>Answers the parent's real question: what will they do on a Tuesday</t>
  </si>
  <si>
    <t>Duration</t>
  </si>
  <si>
    <t>Term-by-term: sell something, solve for a client, invest real money, go and look, build the company, raise. Dropshipping, Creator Challenge, Food Lab, Makers Lab, Bloomberg Lab, VIP, Demo Day.</t>
  </si>
  <si>
    <t>Any audience, any setting — the parent file</t>
  </si>
  <si>
    <t>Channel</t>
  </si>
  <si>
    <t>60–80 slides</t>
  </si>
  <si>
    <t>All 14</t>
  </si>
  <si>
    <t>Job the video does</t>
  </si>
  <si>
    <t>Google Slides + PDF + Figma</t>
  </si>
  <si>
    <t>Videos in this job</t>
  </si>
  <si>
    <t>P0</t>
  </si>
  <si>
    <t>Not started</t>
  </si>
  <si>
    <t>Existing / to shoot</t>
  </si>
  <si>
    <t>Intent</t>
  </si>
  <si>
    <t>Cutdowns needed</t>
  </si>
  <si>
    <t>Homepage Brief S03, Brand Deck p29–51</t>
  </si>
  <si>
    <t>D-02</t>
  </si>
  <si>
    <t>Module recipe</t>
  </si>
  <si>
    <t>The 10-slide cutdown</t>
  </si>
  <si>
    <t>Anyone, 10 minutes, no prep</t>
  </si>
  <si>
    <t>10 slides</t>
  </si>
  <si>
    <t>M01 M04 M05 M07 M13 M14</t>
  </si>
  <si>
    <t>M05</t>
  </si>
  <si>
    <t>Google Slides + PDF</t>
  </si>
  <si>
    <t>People proof</t>
  </si>
  <si>
    <t>Makes the claim believable using humans, not aggregates</t>
  </si>
  <si>
    <t>Named alumni, was-to-now. Jas Desai, Komal Bansal, Karan Mulky, Kriti Gupta, Rishie Prabhakaran. Career transitions from the Brand Deck. Every one checkable on LinkedIn.</t>
  </si>
  <si>
    <t>U-01</t>
  </si>
  <si>
    <t>V-01</t>
  </si>
  <si>
    <t>Careers Report 2025, Brand Deck p59–63</t>
  </si>
  <si>
    <t>Universal — anyone, any setting</t>
  </si>
  <si>
    <t>Institutional identity</t>
  </si>
  <si>
    <t>All</t>
  </si>
  <si>
    <t>MU Brand Film</t>
  </si>
  <si>
    <t>D-03</t>
  </si>
  <si>
    <t>T0 30 sec</t>
  </si>
  <si>
    <t>Existing — 3 min</t>
  </si>
  <si>
    <t>UG admissions deck</t>
  </si>
  <si>
    <t>CH1/CH2 Voice</t>
  </si>
  <si>
    <t>3 min / 60s / 30s / 15s</t>
  </si>
  <si>
    <t>School students</t>
  </si>
  <si>
    <t>I1 Inform</t>
  </si>
  <si>
    <t>25 slides</t>
  </si>
  <si>
    <t>M01 &gt; M04 &gt; M14</t>
  </si>
  <si>
    <t>M01 M03 M04 M06 M09 M12 M14</t>
  </si>
  <si>
    <t>Exists</t>
  </si>
  <si>
    <t>M06</t>
  </si>
  <si>
    <t>V-02</t>
  </si>
  <si>
    <t>U-02</t>
  </si>
  <si>
    <t>Place</t>
  </si>
  <si>
    <t>Campus Film, Food Lab Film, Makers Lab, PwC AI Lab, Bloomberg Lab</t>
  </si>
  <si>
    <t>Existing + to shoot</t>
  </si>
  <si>
    <t>Full / 60s / per-lab 30s</t>
  </si>
  <si>
    <t>T1 2 min</t>
  </si>
  <si>
    <t>D-04</t>
  </si>
  <si>
    <t>Venture proof</t>
  </si>
  <si>
    <t>UG parents deck</t>
  </si>
  <si>
    <t>Proves students build real companies with real revenue</t>
  </si>
  <si>
    <t>Parents of UG aspirants</t>
  </si>
  <si>
    <t>Partial</t>
  </si>
  <si>
    <t>20 slides</t>
  </si>
  <si>
    <t>EIGHT, JustMyRoots, Bullspree, PlaySuper, Cryptique, Nivara, Khet, Zenmo, Beyond Veda, Guardex. Exact figures, never rounded. Grant-in to outcome-out pairing.</t>
  </si>
  <si>
    <t>M02 M04 M05 M07 M13 M09 M14</t>
  </si>
  <si>
    <t>Entrepreneurship Report 2021–25</t>
  </si>
  <si>
    <t>V-03</t>
  </si>
  <si>
    <t>Brand + Ventures</t>
  </si>
  <si>
    <t>Model — how learning works</t>
  </si>
  <si>
    <t>M01 &gt; M03 &gt; M05 &gt; M07 &gt; M14</t>
  </si>
  <si>
    <t>M07</t>
  </si>
  <si>
    <t>Inclass / Outclass / Immersions explainer</t>
  </si>
  <si>
    <t>D-05</t>
  </si>
  <si>
    <t>Outcome proof</t>
  </si>
  <si>
    <t>PG admissions deck</t>
  </si>
  <si>
    <t>Answers the placement question with methodology attached</t>
  </si>
  <si>
    <t>21–30, career switchers</t>
  </si>
  <si>
    <t>Average AND median, side by side. Quartiles. Audited by Brickwork Ratings, IPRS Rev 2.2. What we exclude from CTC and why. The 74/5/17/2/2 outcome split.</t>
  </si>
  <si>
    <t>M04 M05 M07 M11 M14</t>
  </si>
  <si>
    <t>U-03</t>
  </si>
  <si>
    <t>To shoot</t>
  </si>
  <si>
    <t>Universal — written one-paragraph version</t>
  </si>
  <si>
    <t>D-06</t>
  </si>
  <si>
    <t>Cohort of 2025 Careers Report</t>
  </si>
  <si>
    <t>2 min / 60s</t>
  </si>
  <si>
    <t>Brand + Careers</t>
  </si>
  <si>
    <t>Executive programmes deck</t>
  </si>
  <si>
    <t>Gap</t>
  </si>
  <si>
    <t>30–45 working professionals</t>
  </si>
  <si>
    <t>CH5 Written</t>
  </si>
  <si>
    <t>M08</t>
  </si>
  <si>
    <t>Faculty</t>
  </si>
  <si>
    <t>M02 M08 M04 M05 M07 M14</t>
  </si>
  <si>
    <t>Justifies the fee</t>
  </si>
  <si>
    <t>40 practitioners / 30 full-time PhD / 30 visiting international. Named faculty with receipts — Kohli, Phiroz, Seth, Raman, Vaidya, Munjal. Not titles. Things they built.</t>
  </si>
  <si>
    <t>P1</t>
  </si>
  <si>
    <t>Brand Deck p22–25 — resolved to 40/30/30</t>
  </si>
  <si>
    <t>M09</t>
  </si>
  <si>
    <t>U-04</t>
  </si>
  <si>
    <t>D-07</t>
  </si>
  <si>
    <t>Campus</t>
  </si>
  <si>
    <t>Universal — 'so what do you do?' at a party</t>
  </si>
  <si>
    <t>V-04</t>
  </si>
  <si>
    <t>Family business deck</t>
  </si>
  <si>
    <t>Makes it physical and specific</t>
  </si>
  <si>
    <t>Model — each Outclass challenge</t>
  </si>
  <si>
    <t>Promoters, 2nd and 3rd gen</t>
  </si>
  <si>
    <t>Dropshipping, Creator Challenge, Food Lab, Makers Lab, VIP</t>
  </si>
  <si>
    <t>Existing (Dropshipping, Creator) + gaps</t>
  </si>
  <si>
    <t>M01 M08 M04 M06 M12 M14</t>
  </si>
  <si>
    <t>3 min / 60s each</t>
  </si>
  <si>
    <t>The literal inventory: Makers Lab, PwC AI Lab with NVIDIA units, Bloomberg Lab, Food Lab, pitching zone, auditorium. Machines and rooms, not 'world-class facilities'.</t>
  </si>
  <si>
    <t>Brand Deck p73–82, Prospectus</t>
  </si>
  <si>
    <t>V-05</t>
  </si>
  <si>
    <t>People proof — alumni</t>
  </si>
  <si>
    <t>M10</t>
  </si>
  <si>
    <t>Alumni then/now films — one per named alumnus in M05</t>
  </si>
  <si>
    <t>Programmes</t>
  </si>
  <si>
    <t>Routes the listener to their own door</t>
  </si>
  <si>
    <t>Five doors, named by person not product: finishing school / have a degree / mid-career / family business / a few weeks not a few years.</t>
  </si>
  <si>
    <t>D-08</t>
  </si>
  <si>
    <t>PGP Bharat deck</t>
  </si>
  <si>
    <t>90s / 30s each</t>
  </si>
  <si>
    <t>PGP Bharat aspirants and parents</t>
  </si>
  <si>
    <t>18 slides</t>
  </si>
  <si>
    <t>M01 M04 M06 M07 M14</t>
  </si>
  <si>
    <t>CH2 No assets</t>
  </si>
  <si>
    <t>V-06</t>
  </si>
  <si>
    <t>People proof — founders</t>
  </si>
  <si>
    <t>Entrepreneurship Film, founder profiles</t>
  </si>
  <si>
    <t>Homepage Brief S04</t>
  </si>
  <si>
    <t>M01 &gt; M06</t>
  </si>
  <si>
    <t>Admissions</t>
  </si>
  <si>
    <t>M11</t>
  </si>
  <si>
    <t>D-09</t>
  </si>
  <si>
    <t>Ecosystem</t>
  </si>
  <si>
    <t>Recruiter deck</t>
  </si>
  <si>
    <t>Shows the machine behind the outcomes</t>
  </si>
  <si>
    <t>MU Ventures and its funds. Demo Day and the investor room. Shark Tank pipeline. Founder Fellowship. The student-run fund.</t>
  </si>
  <si>
    <t>Talent acquisition, hiring managers</t>
  </si>
  <si>
    <t>A1-1</t>
  </si>
  <si>
    <t>M02 M04 M08 M05 M07 M14</t>
  </si>
  <si>
    <t>School student, Class 11–12 (UG)</t>
  </si>
  <si>
    <t>Brand Deck p43–50</t>
  </si>
  <si>
    <t>A Demand</t>
  </si>
  <si>
    <t>Ventures</t>
  </si>
  <si>
    <t>D-10</t>
  </si>
  <si>
    <t>M12</t>
  </si>
  <si>
    <t>Enterprise L&amp;D deck</t>
  </si>
  <si>
    <t>Culture</t>
  </si>
  <si>
    <t>Corporate L&amp;D buyers</t>
  </si>
  <si>
    <t>I2 Persuade</t>
  </si>
  <si>
    <t>Makes it somewhere you would want to be</t>
  </si>
  <si>
    <t>M01 &gt; M04 &gt; M06 &gt; M12 &gt; M14</t>
  </si>
  <si>
    <t>Clubs and fraternities, case competitions, Unmute, festivities, student life. The part that has nothing to do with outcomes.</t>
  </si>
  <si>
    <t>M03 M08 M04 M14</t>
  </si>
  <si>
    <t>Brand Deck p67–72</t>
  </si>
  <si>
    <t>Student Life</t>
  </si>
  <si>
    <t>M13</t>
  </si>
  <si>
    <t>3 min / 60s</t>
  </si>
  <si>
    <t>D-11</t>
  </si>
  <si>
    <t>Honest</t>
  </si>
  <si>
    <t>A1-2</t>
  </si>
  <si>
    <t>Investor deck</t>
  </si>
  <si>
    <t>Disarms the objection by raising it first</t>
  </si>
  <si>
    <t>VCs, institutional capital</t>
  </si>
  <si>
    <t>REWRITTEN BY THE BILL. The recognition position is now an asset, not a liability — but it creates new questions about prior cohorts and about what changed. What we are not. What the critical coverage says and our answer. Ventures that failed. See tab 09.</t>
  </si>
  <si>
    <t>Haryana bill; Homepage Brief S08; tab 09</t>
  </si>
  <si>
    <t>T3 10 min</t>
  </si>
  <si>
    <t>CH3 With deck</t>
  </si>
  <si>
    <t>M02 M07 M11 M06 M13 M14</t>
  </si>
  <si>
    <t>V-07</t>
  </si>
  <si>
    <t>M01 &gt; M03 &gt; M04 &gt; M06 &gt; M12 &gt; M09 &gt; M14</t>
  </si>
  <si>
    <t>M14</t>
  </si>
  <si>
    <t>People proof — recruiters</t>
  </si>
  <si>
    <t>Ask</t>
  </si>
  <si>
    <t>Recruiter testimonial films (Meta, DP World, IndusInd)</t>
  </si>
  <si>
    <t>Converts</t>
  </si>
  <si>
    <t>The specific next step for this audience. One ask, one date, one link. Never two.</t>
  </si>
  <si>
    <t>60s / 30s each</t>
  </si>
  <si>
    <t>Per audience</t>
  </si>
  <si>
    <t>A1-3</t>
  </si>
  <si>
    <t>Function owner</t>
  </si>
  <si>
    <t>School student — school assembly / stage</t>
  </si>
  <si>
    <t>V-08</t>
  </si>
  <si>
    <t>People proof — parents</t>
  </si>
  <si>
    <t>T4 30 min</t>
  </si>
  <si>
    <t>D-12</t>
  </si>
  <si>
    <t>Parent testimonial films</t>
  </si>
  <si>
    <t>CH6 Stage</t>
  </si>
  <si>
    <t>Government / regulatory deck</t>
  </si>
  <si>
    <t>Haryana, UGC, AICTE</t>
  </si>
  <si>
    <t>90s / 30s</t>
  </si>
  <si>
    <t>M01 &gt; M04 &gt; M06 &gt; M05 &gt; M12 &gt; M14</t>
  </si>
  <si>
    <t>30 slides</t>
  </si>
  <si>
    <t>P2</t>
  </si>
  <si>
    <t>M02 M01 M03 M07 M09 M12</t>
  </si>
  <si>
    <t>V-09</t>
  </si>
  <si>
    <t>A2-1</t>
  </si>
  <si>
    <t>Placement outcomes film with methodology on screen</t>
  </si>
  <si>
    <t>D-13</t>
  </si>
  <si>
    <t>Parent of UG aspirant</t>
  </si>
  <si>
    <t>Accreditation deck</t>
  </si>
  <si>
    <t>AACSB, EFMD, BGA, QS</t>
  </si>
  <si>
    <t>40 slides</t>
  </si>
  <si>
    <t>CH1 Phone</t>
  </si>
  <si>
    <t>M02 M03 M08 M07 M09</t>
  </si>
  <si>
    <t>M02 &gt; M04 &gt; M07 &gt; M13 &gt; M14</t>
  </si>
  <si>
    <t>V-10</t>
  </si>
  <si>
    <t>Faculty profile films — practitioner and academic</t>
  </si>
  <si>
    <t>D-14</t>
  </si>
  <si>
    <t>Faculty hiring deck</t>
  </si>
  <si>
    <t>90s each</t>
  </si>
  <si>
    <t>Academic and practitioner candidates</t>
  </si>
  <si>
    <t>A2-2</t>
  </si>
  <si>
    <t>M01 M02 M03 M08 M09 M14</t>
  </si>
  <si>
    <t>V-11</t>
  </si>
  <si>
    <t>Programme films — one per door</t>
  </si>
  <si>
    <t>M01 &gt; M02 &gt; M04 &gt; M05 &gt; M07 &gt; M13 &gt; M14</t>
  </si>
  <si>
    <t>D-15</t>
  </si>
  <si>
    <t>UG, PG, Exec, Family Business, Immersions</t>
  </si>
  <si>
    <t>Employee EVP deck</t>
  </si>
  <si>
    <t>Existing (UG PSM, UG F&amp;E, PGP Bharat, MU Tech) + gaps</t>
  </si>
  <si>
    <t>Prospective employees</t>
  </si>
  <si>
    <t>2 min / 60s each</t>
  </si>
  <si>
    <t>15 slides</t>
  </si>
  <si>
    <t>M01 M02 M12 M11 M14</t>
  </si>
  <si>
    <t>A2-3</t>
  </si>
  <si>
    <t>Parent of UG aspirant — objection-led</t>
  </si>
  <si>
    <t>V-12</t>
  </si>
  <si>
    <t>T2 5 min</t>
  </si>
  <si>
    <t>D-16</t>
  </si>
  <si>
    <t>Demo Day Film, MU Ventures film, Shark Tank cutdowns</t>
  </si>
  <si>
    <t>I3 Defend</t>
  </si>
  <si>
    <t>New joiner induction deck</t>
  </si>
  <si>
    <t>M13 &gt; M07 &gt; M05 &gt; M02 &gt; M14</t>
  </si>
  <si>
    <t>Day 1, every new employee</t>
  </si>
  <si>
    <t>V-13</t>
  </si>
  <si>
    <t>A2-4</t>
  </si>
  <si>
    <t>Immersions and off-campus</t>
  </si>
  <si>
    <t>Parent of UG aspirant — campus visit</t>
  </si>
  <si>
    <t>Offcampus Sitaram, Payal Polyplast, Moradabad, POV Zomato, HSSL</t>
  </si>
  <si>
    <t>Existing</t>
  </si>
  <si>
    <t>D-17</t>
  </si>
  <si>
    <t>T5 90 min</t>
  </si>
  <si>
    <t>Full / 60s / 30s</t>
  </si>
  <si>
    <t>Board deck</t>
  </si>
  <si>
    <t>CH4 Walkthrough</t>
  </si>
  <si>
    <t>Board of Governors</t>
  </si>
  <si>
    <t>M09 &gt; M04 &gt; M03 &gt; M08 &gt; M06 &gt; M12 &gt; M07 &gt; M13 &gt; M14</t>
  </si>
  <si>
    <t>M02 M07 M06 M11</t>
  </si>
  <si>
    <t>V-14</t>
  </si>
  <si>
    <t>Student life, Unmute, clubs, case competitions, convocation</t>
  </si>
  <si>
    <t>D-18</t>
  </si>
  <si>
    <t>A2-5</t>
  </si>
  <si>
    <t>Student AMA deck</t>
  </si>
  <si>
    <t>Parents meet — one-to-many</t>
  </si>
  <si>
    <t>Current UG / PG / Exec students</t>
  </si>
  <si>
    <t>M04 M11 M12 M14</t>
  </si>
  <si>
    <t>V-15</t>
  </si>
  <si>
    <t>The honest film</t>
  </si>
  <si>
    <t>M01 &gt; M02 &gt; M04 &gt; M07 &gt; M13 &gt; M14</t>
  </si>
  <si>
    <t>What we are not — recognition position, the criticism, the answer</t>
  </si>
  <si>
    <t>D-19</t>
  </si>
  <si>
    <t>2 min</t>
  </si>
  <si>
    <t>Alumni deck</t>
  </si>
  <si>
    <t>Alumni network and chapters</t>
  </si>
  <si>
    <t>A3-1</t>
  </si>
  <si>
    <t>M01 M02 M05 M06 M14</t>
  </si>
  <si>
    <t>V-16</t>
  </si>
  <si>
    <t>School counsellor / coaching centre</t>
  </si>
  <si>
    <t>Utility</t>
  </si>
  <si>
    <t>How to apply, fees and scholarships, admissions process, campus tour</t>
  </si>
  <si>
    <t>I5 Transact</t>
  </si>
  <si>
    <t>D-20</t>
  </si>
  <si>
    <t>M02 &gt; M04 &gt; M07 &gt; M10 &gt; M14</t>
  </si>
  <si>
    <t>Press kit</t>
  </si>
  <si>
    <t>Journalists</t>
  </si>
  <si>
    <t>12 slides + fact sheet</t>
  </si>
  <si>
    <t>M01 M02 M07 M13</t>
  </si>
  <si>
    <t>A3-2</t>
  </si>
  <si>
    <t>Education consultant — partnership pitch</t>
  </si>
  <si>
    <t>60s each</t>
  </si>
  <si>
    <t>D-21</t>
  </si>
  <si>
    <t>Partnership deck</t>
  </si>
  <si>
    <t>Immersion hosts, corporate curriculum partners</t>
  </si>
  <si>
    <t>M02 &gt; M07 &gt; M10 &gt; M11 &gt; M14</t>
  </si>
  <si>
    <t>M02 M03 M04 M09 M14</t>
  </si>
  <si>
    <t>V-17</t>
  </si>
  <si>
    <t>Founder / leadership POV</t>
  </si>
  <si>
    <t>Founder on why this exists; leadership on where it goes</t>
  </si>
  <si>
    <t>A4-1</t>
  </si>
  <si>
    <t>D-22</t>
  </si>
  <si>
    <t>Final-year undergrad / 21–24 (PG)</t>
  </si>
  <si>
    <t>International university partnership deck</t>
  </si>
  <si>
    <t>Peer institutions abroad</t>
  </si>
  <si>
    <t>M02 M03 M04 M08 M14</t>
  </si>
  <si>
    <t>V-18</t>
  </si>
  <si>
    <t>Performance ads</t>
  </si>
  <si>
    <t>M04 &gt; M07 &gt; M05 &gt; M14</t>
  </si>
  <si>
    <t>Programme-level performance creative — see separate ads workstream</t>
  </si>
  <si>
    <t>Ongoing</t>
  </si>
  <si>
    <t>6s / 15s / 30s / 60s</t>
  </si>
  <si>
    <t>D-23</t>
  </si>
  <si>
    <t>Counsellor / consultant deck</t>
  </si>
  <si>
    <t>In flight</t>
  </si>
  <si>
    <t>Schools, coaching centres, consultants</t>
  </si>
  <si>
    <t>A4-2</t>
  </si>
  <si>
    <t>M02 M04 M07 M10 M14</t>
  </si>
  <si>
    <t>D-24</t>
  </si>
  <si>
    <t>M01 &gt; M04 &gt; M05 &gt; M07 &gt; M11 &gt; M14</t>
  </si>
  <si>
    <t>Donor deck</t>
  </si>
  <si>
    <t>Philanthropists, endowment</t>
  </si>
  <si>
    <t>M01 M02 M06 M12 M14</t>
  </si>
  <si>
    <t>A5-1</t>
  </si>
  <si>
    <t>Working professional, 24–30 (PG switch)</t>
  </si>
  <si>
    <t>A5-2</t>
  </si>
  <si>
    <t>Working professional, 24–30 — ROI-led</t>
  </si>
  <si>
    <t>M07 &gt; M05 &gt; M13 &gt; M04 &gt; M14</t>
  </si>
  <si>
    <t>A6-1</t>
  </si>
  <si>
    <t>Parent or spouse of PG aspirant</t>
  </si>
  <si>
    <t>M02 &gt; M07 &gt; M13 &gt; M14</t>
  </si>
  <si>
    <t>A7-1</t>
  </si>
  <si>
    <t>Mid-career executive, 30–45</t>
  </si>
  <si>
    <t>M04 &gt; M08 &gt; M07 &gt; M14</t>
  </si>
  <si>
    <t>Exec Ed</t>
  </si>
  <si>
    <t>A7-2</t>
  </si>
  <si>
    <t>Mid-career executive — weekends objection</t>
  </si>
  <si>
    <t>M13 &gt; M04 &gt; M08 &gt; M05 &gt; M14</t>
  </si>
  <si>
    <t>A7-3</t>
  </si>
  <si>
    <t>Mid-career executive — full pitch</t>
  </si>
  <si>
    <t>M02 &gt; M08 &gt; M04 &gt; M05 &gt; M07 &gt; M14</t>
  </si>
  <si>
    <t>A8-1</t>
  </si>
  <si>
    <t>Family business, 2nd/3rd gen promoter</t>
  </si>
  <si>
    <t>M04 &gt; M08 &gt; M11 &gt; M14</t>
  </si>
  <si>
    <t>A8-2</t>
  </si>
  <si>
    <t>Family business — private, low-hype register</t>
  </si>
  <si>
    <t>M01 &gt; M08 &gt; M04 &gt; M06 &gt; M12 &gt; M14</t>
  </si>
  <si>
    <t>A9-1</t>
  </si>
  <si>
    <t>PGP Bharat aspirant</t>
  </si>
  <si>
    <t>M01 &gt; M04 &gt; M06 &gt; M14</t>
  </si>
  <si>
    <t>A9-2</t>
  </si>
  <si>
    <t>PGP Bharat aspirant — parent version</t>
  </si>
  <si>
    <t>A10-1</t>
  </si>
  <si>
    <t>International / NRI applicant</t>
  </si>
  <si>
    <t>M02 &gt; M01 &gt; M04 &gt; M07 &gt; M09 &gt; M14</t>
  </si>
  <si>
    <t>A11-1</t>
  </si>
  <si>
    <t>Current student — how to tell your own story</t>
  </si>
  <si>
    <t>I4 Recruit</t>
  </si>
  <si>
    <t>A12-1</t>
  </si>
  <si>
    <t>Rejected or waitlisted applicant</t>
  </si>
  <si>
    <t>I6 Represent</t>
  </si>
  <si>
    <t>M02 &gt; M13 &gt; M14</t>
  </si>
  <si>
    <t>B1-1</t>
  </si>
  <si>
    <t>Academic faculty candidate (PhD)</t>
  </si>
  <si>
    <t>B Talent</t>
  </si>
  <si>
    <t>M01 &gt; M02 &gt; M03 &gt; M08 &gt; M09 &gt; M14</t>
  </si>
  <si>
    <t>B2-1</t>
  </si>
  <si>
    <t>Practitioner / CXO teaching candidate</t>
  </si>
  <si>
    <t>M01 &gt; M03 &gt; M08 &gt; M14</t>
  </si>
  <si>
    <t>B2-2</t>
  </si>
  <si>
    <t>Practitioner / CXO — full ask</t>
  </si>
  <si>
    <t>M01 &gt; M03 &gt; M04 &gt; M08 &gt; M12 &gt; M14</t>
  </si>
  <si>
    <t>B3-1</t>
  </si>
  <si>
    <t>International visiting faculty</t>
  </si>
  <si>
    <t>M02 &gt; M03 &gt; M08 &gt; M09 &gt; M14</t>
  </si>
  <si>
    <t>B4-1</t>
  </si>
  <si>
    <t>Senior leadership hire</t>
  </si>
  <si>
    <t>M01 &gt; M02 &gt; M11 &gt; M13 &gt; M14</t>
  </si>
  <si>
    <t>People</t>
  </si>
  <si>
    <t>B5-1</t>
  </si>
  <si>
    <t>Junior / mid employee candidate</t>
  </si>
  <si>
    <t>M01 &gt; M04 &gt; M12 &gt; M14</t>
  </si>
  <si>
    <t>B6-1</t>
  </si>
  <si>
    <t>New joiner — Day 1 induction</t>
  </si>
  <si>
    <t>M01 &gt; M02 &gt; M03 &gt; M04 &gt; M05 &gt; M06 &gt; M07 &gt; M08 &gt; M13 &gt; M14</t>
  </si>
  <si>
    <t>Brand + People</t>
  </si>
  <si>
    <t>B7-1</t>
  </si>
  <si>
    <t>Existing employee — the internal canon</t>
  </si>
  <si>
    <t>B7-2</t>
  </si>
  <si>
    <t>Team lead briefing their own team</t>
  </si>
  <si>
    <t>Full canon, delivery notes attached</t>
  </si>
  <si>
    <t>C1-1</t>
  </si>
  <si>
    <t>Institutional investor / VC</t>
  </si>
  <si>
    <t>C Capital</t>
  </si>
  <si>
    <t>M01 &gt; M02 &gt; M07 &gt; M11 &gt; M06 &gt; M13 &gt; M14</t>
  </si>
  <si>
    <t>Founder's Office</t>
  </si>
  <si>
    <t>C1-2</t>
  </si>
  <si>
    <t>Institutional investor — 2 min teaser</t>
  </si>
  <si>
    <t>M02 &gt; M07 &gt; M11 &gt; M14</t>
  </si>
  <si>
    <t>C2-1</t>
  </si>
  <si>
    <t>Lender / bank / debt partner</t>
  </si>
  <si>
    <t>M02 &gt; M07 &gt; M09 &gt; M14</t>
  </si>
  <si>
    <t>Finance</t>
  </si>
  <si>
    <t>C3-1</t>
  </si>
  <si>
    <t>Donor / philanthropist</t>
  </si>
  <si>
    <t>M01 &gt; M02 &gt; M06 &gt; M12 &gt; M14</t>
  </si>
  <si>
    <t>C4-1</t>
  </si>
  <si>
    <t>Co-investor in MU Ventures funds</t>
  </si>
  <si>
    <t>M11 &gt; M06 &gt; M04 &gt; M14</t>
  </si>
  <si>
    <t>D1-1</t>
  </si>
  <si>
    <t>Recruiter — first call</t>
  </si>
  <si>
    <t>D Commercial</t>
  </si>
  <si>
    <t>Careers</t>
  </si>
  <si>
    <t>D1-2</t>
  </si>
  <si>
    <t>Recruiter — full pitch</t>
  </si>
  <si>
    <t>M02 &gt; M04 &gt; M08 &gt; M05 &gt; M07 &gt; M14</t>
  </si>
  <si>
    <t>D1-3</t>
  </si>
  <si>
    <t>Recruiter — 'why not an IIM' objection</t>
  </si>
  <si>
    <t>M13 &gt; M04 &gt; M05 &gt; M07 &gt; M14</t>
  </si>
  <si>
    <t>D2-1</t>
  </si>
  <si>
    <t>Enterprise L&amp;D buyer</t>
  </si>
  <si>
    <t>M03 &gt; M08 &gt; M04 &gt; M14</t>
  </si>
  <si>
    <t>Enterprise</t>
  </si>
  <si>
    <t>D3-1</t>
  </si>
  <si>
    <t>Immersion / factory / operator host</t>
  </si>
  <si>
    <t>M03 &gt; M04 &gt; M14</t>
  </si>
  <si>
    <t>D4-1</t>
  </si>
  <si>
    <t>Corporate curriculum partner</t>
  </si>
  <si>
    <t>D5-1</t>
  </si>
  <si>
    <t>Creator / brand partner</t>
  </si>
  <si>
    <t>D6-1</t>
  </si>
  <si>
    <t>Vendor / supplier / campus contractor</t>
  </si>
  <si>
    <t>M01 &gt; M02</t>
  </si>
  <si>
    <t>Ops</t>
  </si>
  <si>
    <t>E1-1</t>
  </si>
  <si>
    <t>Government / regulator</t>
  </si>
  <si>
    <t>E Institutional</t>
  </si>
  <si>
    <t>M02 &gt; M01 &gt; M03 &gt; M07 &gt; M09 &gt; M12 &gt; M14</t>
  </si>
  <si>
    <t>E1-2</t>
  </si>
  <si>
    <t>Government — short institutional summary</t>
  </si>
  <si>
    <t>M02 &gt; M07 &gt; M06 &gt; M14</t>
  </si>
  <si>
    <t>E2-1</t>
  </si>
  <si>
    <t>Accreditation body (AACSB / EFMD / BGA)</t>
  </si>
  <si>
    <t>M02 &gt; M03 &gt; M08 &gt; M07 &gt; M09 &gt; M14</t>
  </si>
  <si>
    <t>E3-1</t>
  </si>
  <si>
    <t>Ranking agency</t>
  </si>
  <si>
    <t>M02 &gt; M07 &gt; M08 &gt; M06 &gt; M14</t>
  </si>
  <si>
    <t>E4-1</t>
  </si>
  <si>
    <t>Peer / international university partner</t>
  </si>
  <si>
    <t>M02 &gt; M03 &gt; M04 &gt; M08 &gt; M14</t>
  </si>
  <si>
    <t>E5-1</t>
  </si>
  <si>
    <t>Auditor / assurance provider</t>
  </si>
  <si>
    <t>M02 &gt; M07 &gt; M14</t>
  </si>
  <si>
    <t>F1-1</t>
  </si>
  <si>
    <t>Journalist — friendly / feature</t>
  </si>
  <si>
    <t>F Public</t>
  </si>
  <si>
    <t>CH7 Camera</t>
  </si>
  <si>
    <t>M01 &gt; M04 &gt; M06 &gt; M05 &gt; M14</t>
  </si>
  <si>
    <t>F2-1</t>
  </si>
  <si>
    <t>Journalist — adversarial</t>
  </si>
  <si>
    <t>M13 &gt; M07 &gt; M02 &gt; M05 &gt; M14</t>
  </si>
  <si>
    <t>F2-2</t>
  </si>
  <si>
    <t>Journalist — adversarial, holding statement</t>
  </si>
  <si>
    <t>M13 &gt; M02</t>
  </si>
  <si>
    <t>F3-1</t>
  </si>
  <si>
    <t>Creator / podcaster</t>
  </si>
  <si>
    <t>M01 &gt; M03 &gt; M04 &gt; M06 &gt; M12 &gt; M13 &gt; M14</t>
  </si>
  <si>
    <t>F4-1</t>
  </si>
  <si>
    <t>Alumni — how to describe your own school</t>
  </si>
  <si>
    <t>Alumni</t>
  </si>
  <si>
    <t>F5-1</t>
  </si>
  <si>
    <t>General public / social audience</t>
  </si>
  <si>
    <t>Totals</t>
  </si>
  <si>
    <t>Total</t>
  </si>
  <si>
    <t>What the photo has to prove</t>
  </si>
  <si>
    <t>Shots in this category</t>
  </si>
  <si>
    <t>What it verifies</t>
  </si>
  <si>
    <t>Report</t>
  </si>
  <si>
    <t>Cadence</t>
  </si>
  <si>
    <t>P-01</t>
  </si>
  <si>
    <t>This is a real place</t>
  </si>
  <si>
    <t>Campus exteriors, DLF Cyberpark context, classrooms, auditorium, library, cafeteria, co-working, pitching zone</t>
  </si>
  <si>
    <t>Existing — Campus Photos</t>
  </si>
  <si>
    <t>R-01</t>
  </si>
  <si>
    <t>Outcomes</t>
  </si>
  <si>
    <t>Placement Report 2021 through 2026</t>
  </si>
  <si>
    <t>Parents, applicants, press, recruiters, regulators</t>
  </si>
  <si>
    <t>Annual</t>
  </si>
  <si>
    <t>P-02</t>
  </si>
  <si>
    <t>Exists to 2025</t>
  </si>
  <si>
    <t>The facilities are specific, not generic</t>
  </si>
  <si>
    <t>Makers Lab machines, PwC AI Lab NVIDIA units, Bloomberg terminals, Food Lab kitchen — equipment-level detail</t>
  </si>
  <si>
    <t>R-02</t>
  </si>
  <si>
    <t>Outcomes — methodology</t>
  </si>
  <si>
    <t>Careers Report, audited, IPRS Rev 2.2</t>
  </si>
  <si>
    <t>Sceptics, press, regulators</t>
  </si>
  <si>
    <t>P-03</t>
  </si>
  <si>
    <t>Real people, consistently treated</t>
  </si>
  <si>
    <t>Alumni headshots (all named in M05, same crop and treatment), faculty portraits, leadership portraits</t>
  </si>
  <si>
    <t>To shoot — highest priority shoot</t>
  </si>
  <si>
    <t>R-03</t>
  </si>
  <si>
    <t>Outcomes — web version</t>
  </si>
  <si>
    <t>Placement report as a web page, methodology first</t>
  </si>
  <si>
    <t>P-04</t>
  </si>
  <si>
    <t>Anyone who will not open a 96-page PDF</t>
  </si>
  <si>
    <t>Students actually doing the work</t>
  </si>
  <si>
    <t>Packing dropship orders, pitching to a client, on a factory floor, filming content, cooking in Food Lab, on a trading screen</t>
  </si>
  <si>
    <t>Existing (Dropshipping, Creator Challenge) + gaps</t>
  </si>
  <si>
    <t>R-04</t>
  </si>
  <si>
    <t>P-05</t>
  </si>
  <si>
    <t>Entrepreneurship Report 2020–2026</t>
  </si>
  <si>
    <t>Serious people take this seriously</t>
  </si>
  <si>
    <t>Applicants, investors, press</t>
  </si>
  <si>
    <t>CXO Photos, Politicians on Campus, Creators on Campus</t>
  </si>
  <si>
    <t>Exists — see tab 08</t>
  </si>
  <si>
    <t>R-05</t>
  </si>
  <si>
    <t>Ventures — register</t>
  </si>
  <si>
    <t>P-06</t>
  </si>
  <si>
    <t>MU Ventures Report, including closed ventures</t>
  </si>
  <si>
    <t>Moments that only happen here</t>
  </si>
  <si>
    <t>Investors, press, applicants</t>
  </si>
  <si>
    <t>Demo Day, Shark Tank, Convocation 2022–2025, Unmute, case competitions</t>
  </si>
  <si>
    <t>R-06</t>
  </si>
  <si>
    <t>Ventures — fund</t>
  </si>
  <si>
    <t>P-07</t>
  </si>
  <si>
    <t>MUIF Report</t>
  </si>
  <si>
    <t>The products are real</t>
  </si>
  <si>
    <t>LPs, co-investors</t>
  </si>
  <si>
    <t>Student venture product photography — EIGHT, JustMyRoots, Bullspree, Khet, Zenmo, Beyond Veda</t>
  </si>
  <si>
    <t>R-07</t>
  </si>
  <si>
    <t>Outclass outcomes</t>
  </si>
  <si>
    <t>P-08</t>
  </si>
  <si>
    <t>Dropshipping Report UG and PG</t>
  </si>
  <si>
    <t>This is a place people want to be</t>
  </si>
  <si>
    <t>Applicants, parents, press</t>
  </si>
  <si>
    <t>Clubs, fraternities, festivities, sport, informal campus life</t>
  </si>
  <si>
    <t>Existing + gaps</t>
  </si>
  <si>
    <t>R-08</t>
  </si>
  <si>
    <t>P-09</t>
  </si>
  <si>
    <t>Programme documentation</t>
  </si>
  <si>
    <t>Immersions happened</t>
  </si>
  <si>
    <t>Prospectus 2026</t>
  </si>
  <si>
    <t>Payal Polyplast, Samsara Spirits, Eggoz, factory visits, off-campus</t>
  </si>
  <si>
    <t>All demand-side audiences</t>
  </si>
  <si>
    <t>R-09</t>
  </si>
  <si>
    <t>P-10</t>
  </si>
  <si>
    <t>Utility and library</t>
  </si>
  <si>
    <t>PGP Bharat Brochure and per-programme brochures</t>
  </si>
  <si>
    <t>Cutouts, logos, backgrounds, texture, brand scribble assets, deck-ready crops</t>
  </si>
  <si>
    <t>Programme-specific applicants</t>
  </si>
  <si>
    <t>To produce</t>
  </si>
  <si>
    <t>R-10</t>
  </si>
  <si>
    <t>Brand Deck</t>
  </si>
  <si>
    <t>Internal, partners, press</t>
  </si>
  <si>
    <t>On change</t>
  </si>
  <si>
    <t>R-11</t>
  </si>
  <si>
    <t>Institutional performance</t>
  </si>
  <si>
    <t>Annual Institutional Review</t>
  </si>
  <si>
    <t>Board, government, accreditors</t>
  </si>
  <si>
    <t>R-12</t>
  </si>
  <si>
    <t>Institutional recognition</t>
  </si>
  <si>
    <t>Accreditation self-study documents</t>
  </si>
  <si>
    <t>AACSB, EFMD, BGA</t>
  </si>
  <si>
    <t>Per cycle</t>
  </si>
  <si>
    <t>In progress</t>
  </si>
  <si>
    <t>R-13</t>
  </si>
  <si>
    <t>The honest document</t>
  </si>
  <si>
    <t>What you actually receive — recognition position</t>
  </si>
  <si>
    <t>Parents, applicants, press</t>
  </si>
  <si>
    <t>R-14</t>
  </si>
  <si>
    <t>Sector thought leadership</t>
  </si>
  <si>
    <t>Research and whitepapers</t>
  </si>
  <si>
    <t>Press, peers, policy</t>
  </si>
  <si>
    <t>Quarterly</t>
  </si>
  <si>
    <t>R-15</t>
  </si>
  <si>
    <t>Fact sheet</t>
  </si>
  <si>
    <t>One-page numbers sheet, sourced, dated</t>
  </si>
  <si>
    <t>Every employee, press</t>
  </si>
  <si>
    <t>Fact</t>
  </si>
  <si>
    <t>Stated value</t>
  </si>
  <si>
    <t>Source</t>
  </si>
  <si>
    <t>Note</t>
  </si>
  <si>
    <t>Founded</t>
  </si>
  <si>
    <t>2020</t>
  </si>
  <si>
    <t>Prospectus p16</t>
  </si>
  <si>
    <t>Verified</t>
  </si>
  <si>
    <t>Students then / now</t>
  </si>
  <si>
    <t>60 in 2020 to 2,500+ in 2026</t>
  </si>
  <si>
    <t>Confirm the 2026 figure against current enrolment</t>
  </si>
  <si>
    <t>Employees</t>
  </si>
  <si>
    <t>1,500</t>
  </si>
  <si>
    <t>Stated by Brand Director</t>
  </si>
  <si>
    <t>Needs source</t>
  </si>
  <si>
    <t>Not in any published document. Needs a People sign-off before it goes into a script.</t>
  </si>
  <si>
    <t>University status</t>
  </si>
  <si>
    <t>Masters' Union University — bill passed by the Government of Haryana</t>
  </si>
  <si>
    <t>Haryana state legislation</t>
  </si>
  <si>
    <t>VERIFIED</t>
  </si>
  <si>
    <t>Confirmed by Brand. Supersedes the Homepage Brief's Letter of Intent language (2 Sept 2026). Every existing asset carrying the certification disclosure must be pulled or updated.</t>
  </si>
  <si>
    <t>Legal entity name</t>
  </si>
  <si>
    <t>To confirm — exact name as it appears in the Act</t>
  </si>
  <si>
    <t>Haryana Act</t>
  </si>
  <si>
    <t>NEEDS SOURCE</t>
  </si>
  <si>
    <t>The name in the legislation and the name used in market may differ. Get the gazetted wording from Legal. Every regulatory, accreditation and government script must use the legal name verbatim.</t>
  </si>
  <si>
    <t>Naming rule in market</t>
  </si>
  <si>
    <t>To decide — 'Masters' Union' or 'Masters' Union University'</t>
  </si>
  <si>
    <t>Brand decision</t>
  </si>
  <si>
    <t>NEEDS DECISION</t>
  </si>
  <si>
    <t>Affects all 63 scripts, 24 decks, every signature, hoarding and ad. Decide once, publish to the brand guidelines the same day. Brand rule that the name is never abbreviated still holds.</t>
  </si>
  <si>
    <t>Degree effective from</t>
  </si>
  <si>
    <t>To confirm — which cohort receives a degree</t>
  </si>
  <si>
    <t>Registrar / Academics</t>
  </si>
  <si>
    <t>The single most-asked question from current students and their parents in the next fortnight. Nobody improvises this.</t>
  </si>
  <si>
    <t>Position on prior cohorts</t>
  </si>
  <si>
    <t>To confirm — what alumni who received a certification are told</t>
  </si>
  <si>
    <t>Registrar / Legal</t>
  </si>
  <si>
    <t>Alumni will ask within days. A wrong answer given kindly by a well-meaning employee is a legal problem.</t>
  </si>
  <si>
    <t>Youngest institution to university status</t>
  </si>
  <si>
    <t>4.5 years</t>
  </si>
  <si>
    <t>Brand Deck p88</t>
  </si>
  <si>
    <t>Superlative. Will be fact-checked the moment it is used. Needs a citable basis or it breaches the no-untestable-claims rule.</t>
  </si>
  <si>
    <t>Average CTC, Cohort 2025</t>
  </si>
  <si>
    <t>₹33.39 LPA</t>
  </si>
  <si>
    <t>Careers Report 2025, Brickwork audited</t>
  </si>
  <si>
    <t>Never state without the median beside it.</t>
  </si>
  <si>
    <t>Median CTC, Cohort 2025</t>
  </si>
  <si>
    <t>₹27.78 LPA</t>
  </si>
  <si>
    <t>Careers Report 2025</t>
  </si>
  <si>
    <t>Same type size as the average. Always.</t>
  </si>
  <si>
    <t>Top quartile / bottom quartile</t>
  </si>
  <si>
    <t>₹54.80 LPA / ₹22.75 LPA</t>
  </si>
  <si>
    <t>Highest CTC</t>
  </si>
  <si>
    <t>₹1.28 crore</t>
  </si>
  <si>
    <t>Average salary increase</t>
  </si>
  <si>
    <t>3.03x pre-MBA</t>
  </si>
  <si>
    <t>Brand Deck p58</t>
  </si>
  <si>
    <t>Average international CTC</t>
  </si>
  <si>
    <t>₹64 LPA</t>
  </si>
  <si>
    <t>International placements</t>
  </si>
  <si>
    <t>30+</t>
  </si>
  <si>
    <t>Outcome split, Cohort 2025</t>
  </si>
  <si>
    <t>74% institute / 5% independent / 17% entrepreneurship / 2% family business / 2% other</t>
  </si>
  <si>
    <t>The 17% is the strongest number in the set and is currently underused.</t>
  </si>
  <si>
    <t>Audit</t>
  </si>
  <si>
    <t>Brickwork Ratings, IPRS Rev 2.2</t>
  </si>
  <si>
    <t>Same firm audits IIM Ahmedabad's report. Say this.</t>
  </si>
  <si>
    <t>Faculty mix</t>
  </si>
  <si>
    <t>40 practitioners / 30 full-time PhD / 30 visiting international</t>
  </si>
  <si>
    <t>Confirmed by Brand</t>
  </si>
  <si>
    <t>Resolves the Brand Deck vs Homepage Brief conflict. The Homepage Brief's 50/30/20 line is wrong and must be corrected before the agency sets it. Confirm the mapping is that way round with Academics.</t>
  </si>
  <si>
    <t>CXOs on campus</t>
  </si>
  <si>
    <t>250+</t>
  </si>
  <si>
    <t>Brand Deck p26</t>
  </si>
  <si>
    <t>Round aggregate</t>
  </si>
  <si>
    <t>Rung 4 on the proof ladder. Replace with named people wherever possible.</t>
  </si>
  <si>
    <t>Global professors taught</t>
  </si>
  <si>
    <t>50+</t>
  </si>
  <si>
    <t>Same.</t>
  </si>
  <si>
    <t>Startups from VIP</t>
  </si>
  <si>
    <t>200+ startups, ₹25 Cr raised, 100+ VCs</t>
  </si>
  <si>
    <t>Brand Deck p44</t>
  </si>
  <si>
    <t>CONFLICT</t>
  </si>
  <si>
    <t>Homepage Brief states 30+ companies in five years, ₹593 Cr valuation, ₹5.7 Cr grants, 14.7x. These describe different populations. Define the population before quoting either.</t>
  </si>
  <si>
    <t>Jobs created by ventures</t>
  </si>
  <si>
    <t>500 (foreword) vs 180+ (highlights)</t>
  </si>
  <si>
    <t>Entrepreneurship Report</t>
  </si>
  <si>
    <t>Flagged in the Homepage Brief and still open. Use the lower defensible figure or resolve.</t>
  </si>
  <si>
    <t>Revenue methodology</t>
  </si>
  <si>
    <t>ARR / annualised last-month / projected FY26 mixed</t>
  </si>
  <si>
    <t>Every venture figure must be labelled with which one it is, or dropped.</t>
  </si>
  <si>
    <t>Blue Brew figures</t>
  </si>
  <si>
    <t>Ambiguous — conflates valuation and capital raised</t>
  </si>
  <si>
    <t>DO NOT USE</t>
  </si>
  <si>
    <t>Flagged in the Homepage Brief. Excluded until verified.</t>
  </si>
  <si>
    <t>Dropshipping revenue</t>
  </si>
  <si>
    <t>55 teams, ₹2.11 crore, 6.44x ROAS (Cohort 2026)</t>
  </si>
  <si>
    <t>Homepage Brief S03</t>
  </si>
  <si>
    <t>Brand Deck states '5–50 lakhs per student in first semester' — different unit, both can be true. Do not blend.</t>
  </si>
  <si>
    <t>Immersions</t>
  </si>
  <si>
    <t>152 completed in 2025</t>
  </si>
  <si>
    <t>Brand Deck p53</t>
  </si>
  <si>
    <t>Creator Challenge</t>
  </si>
  <si>
    <t>100M+ followers across 280+ student channels</t>
  </si>
  <si>
    <t>Brand Deck p33</t>
  </si>
  <si>
    <t>Named creators with exact figures are stronger. Anurag Bansal 366K, Madhav Nangru 60.3K.</t>
  </si>
  <si>
    <t>Student-run fund</t>
  </si>
  <si>
    <t>₹5 crore</t>
  </si>
  <si>
    <t>Homepage Brief</t>
  </si>
  <si>
    <t>MU Ventures fund</t>
  </si>
  <si>
    <t>₹100 crore, backing founders under 25</t>
  </si>
  <si>
    <t>Brand Deck p50</t>
  </si>
  <si>
    <t>Press-covered. Cite the coverage.</t>
  </si>
  <si>
    <t>Shark Tank</t>
  </si>
  <si>
    <t>6 startups pitched, Seasons 1–5</t>
  </si>
  <si>
    <t>Brand Deck p18</t>
  </si>
  <si>
    <t>Named founders and seasons — strongest format available.</t>
  </si>
  <si>
    <t>Acceptance rate</t>
  </si>
  <si>
    <t>Under 10% on 3,000 applications (2022)</t>
  </si>
  <si>
    <t>About page</t>
  </si>
  <si>
    <t>Needs update</t>
  </si>
  <si>
    <t>Selectivity is the single most trusted number by a sceptical parent. Get the current-year figure.</t>
  </si>
  <si>
    <t>Accreditations / memberships</t>
  </si>
  <si>
    <t>EFMD, AACSB, BGA (Feb 2026), BSIS, NSDC</t>
  </si>
  <si>
    <t>Prospectus p12</t>
  </si>
  <si>
    <t>These are memberships and affiliations. Do not describe any of them as accreditation unless it is.</t>
  </si>
  <si>
    <t>#</t>
  </si>
  <si>
    <t>Videos</t>
  </si>
  <si>
    <t>The question, as actually asked</t>
  </si>
  <si>
    <t>Who asks it</t>
  </si>
  <si>
    <t>The move</t>
  </si>
  <si>
    <t>Agreed answer — to be locked</t>
  </si>
  <si>
    <t>Is this a real degree?</t>
  </si>
  <si>
    <t>Parents, PG aspirants, press</t>
  </si>
  <si>
    <t>Answer flat, in one sentence, and stop talking</t>
  </si>
  <si>
    <t>Masters' Union University. The bill has been passed by the Government of Haryana. Exact permitted wording to be issued by Legal — LOCKED line, never improvised.</t>
  </si>
  <si>
    <t>So what were you before? A certificate shop?</t>
  </si>
  <si>
    <t>Press, sceptics, forums</t>
  </si>
  <si>
    <t>Do not get defensive. State the sequence as a fact.</t>
  </si>
  <si>
    <t>Needs a written, legally reviewed line covering the path from certification to university status. This is the question the bill creates and it will be asked constantly. Write it before anything else.</t>
  </si>
  <si>
    <t>My son joined last year. Does he get a degree or a certificate?</t>
  </si>
  <si>
    <t>Current students, their parents</t>
  </si>
  <si>
    <t>Do not guess. Route, do not answer, until the Registrar has issued the position.</t>
  </si>
  <si>
    <t>BLOCKING — needs Registrar sign-off on which cohort the degree applies from. Until it exists, the instruction to all 1,500 employees is: do not answer this, route it to Admissions. A kind wrong answer here is a legal problem.</t>
  </si>
  <si>
    <t>Photos</t>
  </si>
  <si>
    <t>I graduated in 2024. Is my qualification worth less now?</t>
  </si>
  <si>
    <t>Reports</t>
  </si>
  <si>
    <t>Acknowledge the question is fair, then give the agreed position</t>
  </si>
  <si>
    <t>BLOCKING — needs Registrar and Legal. Alumni will ask within days of the announcement. Silence on this will be read as an answer.</t>
  </si>
  <si>
    <t>MU Brand Film in 3 mins</t>
  </si>
  <si>
    <t>Your average package looks inflated.</t>
  </si>
  <si>
    <t>Parents, press, sceptics</t>
  </si>
  <si>
    <t>Volunteer the median before they ask for it</t>
  </si>
  <si>
    <t>Average ₹33.39 LPA, median ₹27.78 LPA, top quartile ₹54.80, bottom quartile ₹22.75. Audited by Brickwork Ratings, the same firm that audits IIM Ahmedabad's report, to IPRS Rev 2.2. Here is what we exclude from CTC that some schools include.</t>
  </si>
  <si>
    <t>The Ken said half your batch was unplaced.</t>
  </si>
  <si>
    <t>Press, parents, sceptics</t>
  </si>
  <si>
    <t>Acknowledge, do not deflect, then move to what is checkable now</t>
  </si>
  <si>
    <t>Needs a written, legally reviewed position. Do not let 1,500 people improvise this one.</t>
  </si>
  <si>
    <t>People compare you to IIPM.</t>
  </si>
  <si>
    <t>Do not repeat the comparison. Answer with the audit and the names.</t>
  </si>
  <si>
    <t>Point to the audit, the named alumni with public LinkedIn trails, and the accreditation memberships. Never say the name back.</t>
  </si>
  <si>
    <t>Aren't your recruiters mostly unknown startups?</t>
  </si>
  <si>
    <t>Recruiters, parents, press</t>
  </si>
  <si>
    <t>Name the ones they know, then defend the ones they don't</t>
  </si>
  <si>
    <t>Meta, BCG, DP World, Bloomberg, American Express, Reliance, Larsen &amp; Toubro, Careem — all in the Cohort of 2025. Then: a startup offer at 26 is a career, not a consolation.</t>
  </si>
  <si>
    <t>Do your alumni stay in their jobs?</t>
  </si>
  <si>
    <t>Recruiters, parents</t>
  </si>
  <si>
    <t>Third-party voice, not first-party claim</t>
  </si>
  <si>
    <t>Recruiter quotes from Meta, IndusInd Bank and DP World describing named graduates in role. Permission required before use.</t>
  </si>
  <si>
    <t>₹40 lakh for four years is a lot.</t>
  </si>
  <si>
    <t>Parents</t>
  </si>
  <si>
    <t>Do not defend the price. Describe what is bought.</t>
  </si>
  <si>
    <t>Fee against what happens in each term, plus the outcome split, plus scholarships assessed on the same application. Numbers, not adjectives.</t>
  </si>
  <si>
    <t>Isn't this just an expensive bootcamp?</t>
  </si>
  <si>
    <t>Parents, press</t>
  </si>
  <si>
    <t>Lead with the university status now — it did not exist as an answer last month</t>
  </si>
  <si>
    <t>Masters' Union University. Board of Governors, memberships, campus, 30 full-time PhD faculty, the audited placement report. All checkable in ten minutes.</t>
  </si>
  <si>
    <t>Why should my child skip a known college for this?</t>
  </si>
  <si>
    <t xml:space="preserve">Campus Photos </t>
  </si>
  <si>
    <t>Do not attack the alternative</t>
  </si>
  <si>
    <t>Describe what is different, name the outcome split, and state plainly who this is not for.</t>
  </si>
  <si>
    <t>Do students actually make money, or is that marketing?</t>
  </si>
  <si>
    <t>Exact numbers, named ventures, checkable links</t>
  </si>
  <si>
    <t>Named ventures with exact figures and live websites. Never a rounded aggregate.</t>
  </si>
  <si>
    <t>What happens to the students whose ventures fail?</t>
  </si>
  <si>
    <t>Prospectus</t>
  </si>
  <si>
    <t>Say it first</t>
  </si>
  <si>
    <t>Some ventures failed. The founders got sharper and usually got hired. This line buys more credibility than any success story on the page.</t>
  </si>
  <si>
    <t>Campus Film - full length</t>
  </si>
  <si>
    <t>Why should I work here / teach here?</t>
  </si>
  <si>
    <t>Talent, faculty</t>
  </si>
  <si>
    <t>The institution, then the ambition</t>
  </si>
  <si>
    <t>Module 02 plus Module 12 plus the ten-year ambition. Do not lead with growth numbers.</t>
  </si>
  <si>
    <t>Demo Day Photos</t>
  </si>
  <si>
    <t>Campus Film - 1 Min</t>
  </si>
  <si>
    <t>Dropshipping Photos</t>
  </si>
  <si>
    <t>Entrepreneurship Report (2020-2026)</t>
  </si>
  <si>
    <t>Dropshipping UG film</t>
  </si>
  <si>
    <t>Creator Challenge Photos</t>
  </si>
  <si>
    <t>Placement Report 2021</t>
  </si>
  <si>
    <t>Creator Challenge Film</t>
  </si>
  <si>
    <t>CXO Photos</t>
  </si>
  <si>
    <t>Placement Report 2022</t>
  </si>
  <si>
    <t xml:space="preserve">Entrepreneurship Film </t>
  </si>
  <si>
    <t>Politicians on Campus Photos</t>
  </si>
  <si>
    <t>Placement Report 2023</t>
  </si>
  <si>
    <t xml:space="preserve">Demo Day Film </t>
  </si>
  <si>
    <t>Creators on Campus Photos</t>
  </si>
  <si>
    <t>Placement Report 2024</t>
  </si>
  <si>
    <t xml:space="preserve">HSSL Film </t>
  </si>
  <si>
    <t>Convocation 2022</t>
  </si>
  <si>
    <t>Placement Report 2025</t>
  </si>
  <si>
    <t>PGP Bharat Film</t>
  </si>
  <si>
    <t>Convocation 2023</t>
  </si>
  <si>
    <t>Placement Report 2026</t>
  </si>
  <si>
    <t xml:space="preserve">MU Tech School Film </t>
  </si>
  <si>
    <t>Convocation 2024</t>
  </si>
  <si>
    <t>Dropshipping Report PG 2025</t>
  </si>
  <si>
    <t xml:space="preserve">Food Lab Film </t>
  </si>
  <si>
    <t>Convocation 2025</t>
  </si>
  <si>
    <t>Dropshipping Report UG 2025</t>
  </si>
  <si>
    <t>UG PSM Brand FIlm</t>
  </si>
  <si>
    <t>MU Ventures Report</t>
  </si>
  <si>
    <t xml:space="preserve">UG F&amp;E Brand Film </t>
  </si>
  <si>
    <t xml:space="preserve">MUIF Report </t>
  </si>
  <si>
    <t xml:space="preserve">Offcampus Sitaram </t>
  </si>
  <si>
    <t xml:space="preserve">PGP Bharat Brochure </t>
  </si>
  <si>
    <t>Offcampus Payal Polyplast</t>
  </si>
  <si>
    <t>Offcampus Moradabad</t>
  </si>
  <si>
    <t>POV Zomato Video</t>
  </si>
  <si>
    <t>CXO/Guests on Campus Video (made by BeeBuzz - Devansh has it)</t>
  </si>
  <si>
    <t>BCD Trailer</t>
  </si>
  <si>
    <t>Drive to Thrive Cars 24 Trailer</t>
  </si>
  <si>
    <t>Varun Mayya AI Masterclass</t>
  </si>
  <si>
    <t xml:space="preserve">UG Internship Film </t>
  </si>
  <si>
    <t xml:space="preserve">Devansh+ YouTube </t>
  </si>
  <si>
    <t>Ayushi + Akash</t>
  </si>
  <si>
    <t>Ayushi + Ananya + Akash</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</si>
</sst>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6.0"/>
      <color theme="1"/>
      <name val="Montserrat"/>
    </font>
    <font>
      <b/>
      <color theme="1"/>
      <name val="Arial"/>
      <scheme val="minor"/>
    </font>
    <font>
      <b/>
      <sz val="10.0"/>
      <color rgb="FFFFFFFF"/>
      <name val="Montserrat"/>
    </font>
    <font>
      <sz val="10.0"/>
      <color rgb="FF525252"/>
      <name val="Montserrat"/>
    </font>
    <font>
      <color theme="1"/>
      <name val="Arial"/>
      <scheme val="minor"/>
    </font>
    <font>
      <sz val="9.0"/>
      <color theme="1"/>
      <name val="Montserrat"/>
    </font>
    <font>
      <b/>
      <sz val="12.0"/>
      <color rgb="FFFFFFFF"/>
      <name val="Montserrat"/>
    </font>
    <font>
      <sz val="11.0"/>
      <color theme="1"/>
      <name val="Calibri"/>
    </font>
    <font>
      <b/>
      <sz val="9.0"/>
      <color theme="1"/>
      <name val="Montserrat"/>
    </font>
    <font>
      <b/>
      <sz val="10.0"/>
      <color theme="1"/>
      <name val="Montserrat"/>
    </font>
    <font>
      <u/>
      <color rgb="FF0000FF"/>
    </font>
  </fonts>
  <fills count="6">
    <fill>
      <patternFill patternType="none"/>
    </fill>
    <fill>
      <patternFill patternType="lightGray"/>
    </fill>
    <fill>
      <patternFill patternType="solid">
        <fgColor rgb="FFA2C4C9"/>
        <bgColor rgb="FFA2C4C9"/>
      </patternFill>
    </fill>
    <fill>
      <patternFill patternType="solid">
        <fgColor rgb="FF171717"/>
        <bgColor rgb="FF171717"/>
      </patternFill>
    </fill>
    <fill>
      <patternFill patternType="solid">
        <fgColor rgb="FFFAFAFA"/>
        <bgColor rgb="FFFAFAFA"/>
      </patternFill>
    </fill>
    <fill>
      <patternFill patternType="solid">
        <fgColor rgb="FFF7D344"/>
        <bgColor rgb="FFF7D344"/>
      </patternFill>
    </fill>
  </fills>
  <borders count="5">
    <border/>
    <border>
      <left/>
      <right/>
      <top/>
      <bottom/>
    </border>
    <border>
      <left/>
      <right/>
      <top/>
      <bottom style="thin">
        <color rgb="FFE5E5E5"/>
      </bottom>
    </border>
    <border>
      <bottom style="thin">
        <color rgb="FFE5E5E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2" fontId="2" numFmtId="0" xfId="0" applyAlignment="1" applyFill="1" applyFont="1">
      <alignment readingOrder="0"/>
    </xf>
    <xf borderId="1" fillId="3" fontId="3" numFmtId="0" xfId="0" applyAlignment="1" applyBorder="1" applyFill="1" applyFont="1">
      <alignment shrinkToFit="0" vertical="center" wrapText="1"/>
    </xf>
    <xf borderId="0" fillId="0" fontId="4" numFmtId="0" xfId="0" applyAlignment="1" applyFont="1">
      <alignment shrinkToFit="0" vertical="bottom" wrapText="0"/>
    </xf>
    <xf borderId="0" fillId="0" fontId="5" numFmtId="0" xfId="0" applyAlignment="1" applyFont="1">
      <alignment readingOrder="0"/>
    </xf>
    <xf borderId="2" fillId="4" fontId="6" numFmtId="0" xfId="0" applyAlignment="1" applyBorder="1" applyFill="1" applyFont="1">
      <alignment shrinkToFit="0" vertical="top" wrapText="1"/>
    </xf>
    <xf borderId="1" fillId="3" fontId="7" numFmtId="0" xfId="0" applyAlignment="1" applyBorder="1" applyFill="1" applyFont="1">
      <alignment shrinkToFit="0" vertical="bottom" wrapText="0"/>
    </xf>
    <xf borderId="1" fillId="3" fontId="8" numFmtId="0" xfId="0" applyAlignment="1" applyBorder="1" applyFill="1" applyFont="1">
      <alignment shrinkToFit="0" vertical="bottom" wrapText="0"/>
    </xf>
    <xf borderId="0" fillId="0" fontId="9" numFmtId="0" xfId="0" applyAlignment="1" applyFont="1">
      <alignment shrinkToFit="0" vertical="top" wrapText="1"/>
    </xf>
    <xf borderId="0" fillId="0" fontId="6" numFmtId="0" xfId="0" applyAlignment="1" applyFont="1">
      <alignment shrinkToFit="0" vertical="top" wrapText="1"/>
    </xf>
    <xf borderId="3" fillId="0" fontId="6" numFmtId="0" xfId="0" applyAlignment="1" applyBorder="1" applyFont="1">
      <alignment shrinkToFit="0" vertical="top" wrapText="1"/>
    </xf>
    <xf borderId="1" fillId="3" fontId="3" numFmtId="0" xfId="0" applyAlignment="1" applyBorder="1" applyFill="1" applyFont="1">
      <alignment readingOrder="0" shrinkToFit="0" vertical="center" wrapText="1"/>
    </xf>
    <xf borderId="0" fillId="0" fontId="10" numFmtId="0" xfId="0" applyAlignment="1" applyFont="1">
      <alignment shrinkToFit="0" vertical="bottom" wrapText="0"/>
    </xf>
    <xf borderId="0" fillId="0" fontId="9" numFmtId="0" xfId="0" applyAlignment="1" applyFont="1">
      <alignment shrinkToFit="0" vertical="bottom" wrapText="0"/>
    </xf>
    <xf borderId="0" fillId="0" fontId="6" numFmtId="0" xfId="0" applyAlignment="1" applyFont="1">
      <alignment shrinkToFit="0" vertical="bottom" wrapText="0"/>
    </xf>
    <xf borderId="2" fillId="5" fontId="6" numFmtId="0" xfId="0" applyAlignment="1" applyBorder="1" applyFill="1" applyFont="1">
      <alignment shrinkToFit="0" vertical="top" wrapText="1"/>
    </xf>
    <xf borderId="2" fillId="5" fontId="9" numFmtId="0" xfId="0" applyAlignment="1" applyBorder="1" applyFill="1" applyFont="1">
      <alignment shrinkToFit="0" vertical="top" wrapText="1"/>
    </xf>
    <xf borderId="4" fillId="2" fontId="2" numFmtId="0" xfId="0" applyAlignment="1" applyBorder="1" applyFill="1" applyFont="1">
      <alignment readingOrder="0"/>
    </xf>
    <xf borderId="4" fillId="0" fontId="11" numFmtId="0" xfId="0" applyAlignment="1" applyBorder="1" applyFont="1">
      <alignment readingOrder="0"/>
    </xf>
    <xf borderId="4" fillId="0" fontId="5" numFmtId="0" xfId="0" applyAlignment="1" applyBorder="1" applyFont="1">
      <alignment readingOrder="0"/>
    </xf>
    <xf borderId="4" fillId="0" fontId="5" numFmtId="0" xfId="0" applyAlignment="1" applyBorder="1" applyFont="1">
      <alignment readingOrder="0"/>
    </xf>
    <xf borderId="4" fillId="0" fontId="5" numFmtId="0" xfId="0" applyBorder="1" applyFont="1"/>
    <xf borderId="4" fillId="0" fontId="5"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97318ba7-c111-4b7c-b5fa-9cfaf8acac13}">
    <Anchor>
      <Comment id="{cc36a5f1-3a3a-4801-816b-774bea1f519f}"/>
    </Anchor>
    <History>
      <Event time="2026-09-04T12:27:46.00" id="{52c8042a-4054-433d-834b-c98bb8beec8d}">
        <Attribution userId="placeholder@email.com" userName="Divyam Goenka" userProvider="google-sheets"/>
        <Anchor>
          <Comment id="{cc36a5f1-3a3a-4801-816b-774bea1f519f}"/>
        </Anchor>
        <Create/>
      </Event>
      <Event time="2026-09-04T12:27:46.00" id="{43068c8d-2d6e-49b6-a6c7-7da3c3dab738}">
        <Attribution userId="placeholder@email.com" userName="Divyam Goenka" userProvider="google-sheets"/>
        <Anchor>
          <Comment id="{cc36a5f1-3a3a-4801-816b-774bea1f519f}"/>
        </Anchor>
        <Assign userId="sudeep.purwar@mastersunion.org" userName="sudeep.purwar@mastersunion.org" userProvider="google-sheets"/>
      </Event>
    </History>
  </Task>
</Tasks>
</file>

<file path=xl/documenttasks/documenttask2.xml><?xml version="1.0" encoding="utf-8"?>
<Tasks xmlns="http://schemas.microsoft.com/office/tasks/2019/documenttasks">
  <Task id="{a8ea0140-3f92-4c28-9b0f-a048f5021d36}">
    <Anchor>
      <Comment id="{585e031b-30ce-4ce1-af3e-2acfc97a5432}"/>
    </Anchor>
    <History>
      <Event time="2026-09-04T12:29:25.00" id="{211ca50f-76b6-471d-9f92-451060dd6ad2}">
        <Attribution userId="placeholder@email.com" userName="Divyam Goenka" userProvider="google-sheets"/>
        <Anchor>
          <Comment id="{585e031b-30ce-4ce1-af3e-2acfc97a5432}"/>
        </Anchor>
        <Create/>
      </Event>
      <Event time="2026-09-04T12:29:25.00" id="{203a3727-6eb3-47bd-9020-8d9fd92d2c31}">
        <Attribution userId="placeholder@email.com" userName="Divyam Goenka" userProvider="google-sheets"/>
        <Anchor>
          <Comment id="{585e031b-30ce-4ce1-af3e-2acfc97a5432}"/>
        </Anchor>
        <Assign userId="sudeep.purwar@mastersunion.org" userName="sudeep.purwar@mastersunion.org" userProvider="google-sheets"/>
      </Event>
    </History>
  </Task>
</Tasks>
</file>

<file path=xl/documenttasks/documenttask3.xml><?xml version="1.0" encoding="utf-8"?>
<Tasks xmlns="http://schemas.microsoft.com/office/tasks/2019/documenttasks">
  <Task id="{79b95000-d5fa-42cd-808d-e7ff94099b38}">
    <Anchor>
      <Comment id="{6ee72060-2738-41cc-8ce0-87f617f288ce}"/>
    </Anchor>
    <History>
      <Event time="2026-09-04T12:34:38.00" id="{537f6021-5c49-48b6-b5bd-4ba5849a5f46}">
        <Attribution userId="placeholder@email.com" userName="Divyam Goenka" userProvider="google-sheets"/>
        <Anchor>
          <Comment id="{6ee72060-2738-41cc-8ce0-87f617f288ce}"/>
        </Anchor>
        <Create/>
      </Event>
      <Event time="2026-09-04T12:34:38.00" id="{bd8ccc75-da29-4d3e-822a-3f288b84f188}">
        <Attribution userId="placeholder@email.com" userName="Divyam Goenka" userProvider="google-sheets"/>
        <Anchor>
          <Comment id="{6ee72060-2738-41cc-8ce0-87f617f288ce}"/>
        </Anchor>
        <Assign userId="mrittika.maitra@mastersunion.org" userName="mrittika.maitra@mastersunion.org" userProvider="google-sheets"/>
      </Event>
    </History>
  </Task>
</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rittika Maitra" id="{4c08bf64-0ff6-4fc3-88f7-a39165c83cfb}" providerId="google-sheets"/>
  <x18tc:person displayName="mrittika.maitra@mastersunion.org" id="{977ae3f9-e21d-42d4-8e6a-fc03af5bdcde}" userId="mrittika.maitra@mastersunion.org" providerId="google-sheets"/>
  <x18tc:person displayName="sudeep.purwar@mastersunion.org" id="{2047523d-d3ef-4e45-ada2-0164c40a8071}" userId="sudeep.purwar@mastersunion.org" providerId="google-sheets"/>
  <x18tc:person displayName="Divyam Goenka" id="{d0049c38-0479-468a-a4be-4844d02f88f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04T12:27:46.00" personId="{d0049c38-0479-468a-a4be-4844d02f88f6}" id="{cc36a5f1-3a3a-4801-816b-774bea1f519f}" done="0">
    <x18tc:text xml:space="preserve">@sudeep.purwar@mastersunion.org the best way to do this is to scrape our entire YT and Instagram (all our channels) and tag them on the back end using different heads for use cases. 
For eg. 
Brand Film 
Perf Ad 
Student building a startup - built at mu video 
etc etc. 
This way it will much easier for the tool to scrape and provide data on the front end
Assigned to sudeep.purwar@mastersunion.org</x18tc:text>
    <x18tc:mentions>
      <x18tc:mention mentionpersonId="{2047523d-d3ef-4e45-ada2-0164c40a8071}" mentionId="{ffc91f4c-19b6-465b-b48a-3be4f16feefd}" startIndex="0" length="3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9-04T12:29:25.00" personId="{d0049c38-0479-468a-a4be-4844d02f88f6}" id="{585e031b-30ce-4ce1-af3e-2acfc97a5432}" done="0">
    <x18tc:text xml:space="preserve">Finding all possible use cases and having not more than 20 pictures each for every use case - 
This activity was already done like 50-60% by Ayushi for the Prospectus. We can just expand on it and complete it. @sudeep.purwar@mastersunion.org 
Scrapping the entire drive every single time is going to take a lot of tokens
Assigned to sudeep.purwar@mastersunion.org</x18tc:text>
    <x18tc:mentions>
      <x18tc:mention mentionpersonId="{2047523d-d3ef-4e45-ada2-0164c40a8071}" mentionId="{8cebe974-3714-4638-96f0-303ec0ea857b}" startIndex="210" length="31"/>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04T12:34:38.00" personId="{d0049c38-0479-468a-a4be-4844d02f88f6}" id="{6ee72060-2738-41cc-8ce0-87f617f288ce}" done="0">
    <x18tc:text xml:space="preserve">@mrittika.maitra@mastersunion.org this is what I'd like you to do - 
Segment reports + brochures across the org in different ways. 
1. UG-PG-Exec-Central Functions - audit whatever you have from the data collection activity that Ananya did across the above 4 departments. See if it covers everything. I'm sure it wouldn't. 
2. Shoot a fresh mail to all decision makers across UG-PG-Exec-CF to submit all the reports, brochures, PDFs ever made by them by Monday EOD -= have Gautam in CC for this along with me. 
3. Once you receive all of these - make a directory here where you have solved for navigation. I'm proposing one here - 
1. No. 
2. Report/Document Name :
3. Published Year : 2020-2026
4. Published by Dept : UG,PG, Exec. CF (write all CF departments alag alag) 
5. Link of the report 
6. Audience of the report (already there in the existing sheet)
Assigned to mrittika.maitra@mastersunion.org</x18tc:text>
    <x18tc:mentions>
      <x18tc:mention mentionpersonId="{977ae3f9-e21d-42d4-8e6a-fc03af5bdcde}" mentionId="{5b26af27-a16b-4a48-8fc5-9a25eddd0ec5}" startIndex="0" length="33"/>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6-09-04T12:23:30.00" personId="{d0049c38-0479-468a-a4be-4844d02f88f6}" id="{7589313b-7b5a-4f8f-96a9-78fdb8b1e461}" done="0">
    <x18tc:text xml:space="preserve">@mrittika.maitra@mastersunion.org devansh has this</x18tc:text>
    <x18tc:mentions>
      <x18tc:mention mentionpersonId="{977ae3f9-e21d-42d4-8e6a-fc03af5bdcde}" mentionId="{041d3732-349e-48b3-8dd3-a63943cdbab4}" startIndex="0" length="33"/>
    </x18tc:mentions>
  </x18tc:threadedComment>
  <x18tc:threadedComment ref="A7" dT="2026-09-04T12:27:34.00" personId="{4c08bf64-0ff6-4fc3-88f7-a39165c83cfb}" id="{7dda8a81-63ea-450d-b3b4-ccaad579bd76}" parentId="{7589313b-7b5a-4f8f-96a9-78fdb8b1e461}">
    <x18tc:text xml:space="preserve">not live on youtube, will upload unlist and link</x18tc:text>
  </x18tc:threadedComment>
  <x18tc:threadedComment ref="A20" dT="2026-09-04T12:23:48.00" personId="{d0049c38-0479-468a-a4be-4844d02f88f6}" id="{3cf338c3-8e9f-4e5e-bf26-6bd64b9beb32}" done="0">
    <x18tc:text xml:space="preserve">Ishika has this</x18tc:text>
  </x18tc:threadedComment>
  <x18tc:threadedComment ref="A20" dT="2026-09-04T12:26:29.00" personId="{4c08bf64-0ff6-4fc3-88f7-a39165c83cfb}" id="{48b4bd4f-ea0d-4188-ab8e-c847364e4420}" parentId="{3cf338c3-8e9f-4e5e-bf26-6bd64b9beb32}">
    <x18tc:text xml:space="preserve">not live yet, she'll send it to me when its ready</x18tc:text>
  </x18tc:threadedComment>
  <x18tc:threadedComment ref="A4" dT="2026-09-04T12:23:38.00" personId="{d0049c38-0479-468a-a4be-4844d02f88f6}" id="{ad743d0c-7195-46cf-bcde-43c5aaa315c8}" done="0">
    <x18tc:text xml:space="preserve">@mrittika.maitra@mastersunion.org Devansh has this</x18tc:text>
    <x18tc:mentions>
      <x18tc:mention mentionpersonId="{977ae3f9-e21d-42d4-8e6a-fc03af5bdcde}" mentionId="{e0afd389-4e4a-4d0c-9c21-cac23446616c}" startIndex="0" length="33"/>
    </x18tc:mentions>
  </x18tc:threadedComment>
  <x18tc:threadedComment ref="A21" dT="2026-09-04T12:23:53.00" personId="{d0049c38-0479-468a-a4be-4844d02f88f6}" id="{057d0ac9-0054-4c1d-bd70-0a52cb621520}" done="1">
    <x18tc:text xml:space="preserve">Live on YT</x18tc:text>
  </x18tc:threadedComment>
  <x18tc:threadedComment ref="A22" dT="2026-09-04T12:23:59.00" personId="{d0049c38-0479-468a-a4be-4844d02f88f6}" id="{f51e8985-3954-48b0-8cda-6744030fde15}" done="1">
    <x18tc:text xml:space="preserve">Live on YT</x18tc:text>
  </x18tc:threadedComment>
  <x18tc:threadedComment ref="A16" dT="2026-09-04T12:23:42.00" personId="{d0049c38-0479-468a-a4be-4844d02f88f6}" id="{bcc71376-93b2-4c69-bbac-563f1da94be3}" done="1">
    <x18tc:text xml:space="preserve">live on YT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8.xml"/><Relationship Id="rId5"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9.xml"/><Relationship Id="rId5"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0.xml"/><Relationship Id="rId5"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www.youtube.com/watch?v=yJFsZLgUa40" TargetMode="External"/><Relationship Id="rId11" Type="http://schemas.openxmlformats.org/officeDocument/2006/relationships/hyperlink" Target="https://drive.google.com/drive/u/0/folders/19cw1nnKP-DDPxAjGCgT9HKk4wrZpV1yO" TargetMode="External"/><Relationship Id="rId22" Type="http://schemas.openxmlformats.org/officeDocument/2006/relationships/drawing" Target="../drawings/drawing13.xml"/><Relationship Id="rId10" Type="http://schemas.openxmlformats.org/officeDocument/2006/relationships/hyperlink" Target="https://www.youtube.com/watch?v=BOiNnczhfjw" TargetMode="External"/><Relationship Id="rId21" Type="http://schemas.openxmlformats.org/officeDocument/2006/relationships/hyperlink" Target="https://www.youtube.com/watch?v=xEg3x1lTFF0" TargetMode="External"/><Relationship Id="rId13" Type="http://schemas.openxmlformats.org/officeDocument/2006/relationships/hyperlink" Target="https://www.youtube.com/watch?v=F5SFb40iB0U" TargetMode="External"/><Relationship Id="rId12" Type="http://schemas.openxmlformats.org/officeDocument/2006/relationships/hyperlink" Target="https://www.youtube.com/watch?v=JdkZQbuuJeE" TargetMode="External"/><Relationship Id="rId23" Type="http://schemas.openxmlformats.org/officeDocument/2006/relationships/vmlDrawing" Target="../drawings/vmlDrawing4.vm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youtube.com/watch?v=IyMIGNBmRrg" TargetMode="External"/><Relationship Id="rId9" Type="http://schemas.openxmlformats.org/officeDocument/2006/relationships/hyperlink" Target="https://www.youtube.com/watch?v=uI12CiRkylM" TargetMode="External"/><Relationship Id="rId15" Type="http://schemas.openxmlformats.org/officeDocument/2006/relationships/hyperlink" Target="https://www.youtube.com/watch?v=8Zh1TucHDwI" TargetMode="External"/><Relationship Id="rId14" Type="http://schemas.openxmlformats.org/officeDocument/2006/relationships/hyperlink" Target="https://youtu.be/6XWLPtZq8kk?si=9owXi0eeSNzfoGRF" TargetMode="External"/><Relationship Id="rId17" Type="http://schemas.openxmlformats.org/officeDocument/2006/relationships/hyperlink" Target="https://www.youtube.com/watch?v=jBzL5xyOa40" TargetMode="External"/><Relationship Id="rId16" Type="http://schemas.openxmlformats.org/officeDocument/2006/relationships/hyperlink" Target="https://youtu.be/VIzWHj8FrXA?si=o2cXwRNlT0Xm6Jsi" TargetMode="External"/><Relationship Id="rId5" Type="http://schemas.openxmlformats.org/officeDocument/2006/relationships/hyperlink" Target="https://www.youtube.com/watch?v=N5Crw6YCkSU" TargetMode="External"/><Relationship Id="rId19" Type="http://schemas.openxmlformats.org/officeDocument/2006/relationships/hyperlink" Target="https://www.youtube.com/watch?v=ikltumaKUZc" TargetMode="External"/><Relationship Id="rId6" Type="http://schemas.openxmlformats.org/officeDocument/2006/relationships/hyperlink" Target="https://www.figma.com/design/LLYTAzhCqnzO4MzL5gMDJV/Brand-Deck---Masters--Union-RE?node-id=491-9076&amp;t=McH02YPGbl5EOcR4-1" TargetMode="External"/><Relationship Id="rId18" Type="http://schemas.openxmlformats.org/officeDocument/2006/relationships/hyperlink" Target="https://www.youtube.com/watch?v=OMa6swh1MOk&amp;feature=youtu.be" TargetMode="External"/><Relationship Id="rId7" Type="http://schemas.openxmlformats.org/officeDocument/2006/relationships/hyperlink" Target="https://www.youtube.com/watch?v=_bPVZ6hYaHc" TargetMode="External"/><Relationship Id="rId8" Type="http://schemas.openxmlformats.org/officeDocument/2006/relationships/hyperlink" Target="https://www.youtube.com/watch?v=G4B1ozACq6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3" max="3" width="24.5"/>
  </cols>
  <sheetData>
    <row r="1">
      <c r="A1" s="2" t="s">
        <v>2</v>
      </c>
      <c r="B1" s="2" t="s">
        <v>9</v>
      </c>
      <c r="C1" s="2" t="s">
        <v>10</v>
      </c>
      <c r="D1" s="2" t="s">
        <v>11</v>
      </c>
      <c r="E1" s="2" t="s">
        <v>12</v>
      </c>
      <c r="F1" s="2"/>
    </row>
    <row r="2">
      <c r="A2" s="5" t="s">
        <v>13</v>
      </c>
    </row>
    <row r="3">
      <c r="A3" s="5" t="s">
        <v>19</v>
      </c>
    </row>
    <row r="4">
      <c r="A4" s="5" t="s">
        <v>21</v>
      </c>
    </row>
    <row r="5">
      <c r="A5" s="5" t="s">
        <v>23</v>
      </c>
    </row>
    <row r="7">
      <c r="A7" s="5" t="s">
        <v>26</v>
      </c>
    </row>
    <row r="8">
      <c r="A8" s="5" t="s">
        <v>27</v>
      </c>
    </row>
    <row r="9">
      <c r="A9" s="5" t="s">
        <v>28</v>
      </c>
    </row>
    <row r="10">
      <c r="A10" s="5" t="s">
        <v>29</v>
      </c>
    </row>
    <row r="11">
      <c r="A11" s="5" t="s">
        <v>30</v>
      </c>
    </row>
    <row r="12">
      <c r="A12" s="5" t="s">
        <v>31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17.88"/>
    <col customWidth="1" min="4" max="4" width="16.38"/>
  </cols>
  <sheetData>
    <row r="2">
      <c r="A2" s="2" t="s">
        <v>1</v>
      </c>
      <c r="B2" s="2" t="s">
        <v>5</v>
      </c>
      <c r="C2" s="2" t="s">
        <v>6</v>
      </c>
      <c r="D2" s="2" t="s">
        <v>7</v>
      </c>
    </row>
    <row r="3">
      <c r="A3" s="5" t="s">
        <v>8</v>
      </c>
    </row>
    <row r="4">
      <c r="A4" s="5" t="s">
        <v>20</v>
      </c>
    </row>
    <row r="5">
      <c r="A5" s="5" t="s">
        <v>22</v>
      </c>
    </row>
    <row r="6">
      <c r="A6" s="5" t="s">
        <v>24</v>
      </c>
    </row>
    <row r="7">
      <c r="A7" s="5" t="s">
        <v>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75"/>
    <col customWidth="1" min="2" max="2" width="103.25"/>
    <col customWidth="1" min="3" max="26" width="7.63"/>
  </cols>
  <sheetData>
    <row r="1">
      <c r="A1" s="1" t="s">
        <v>0</v>
      </c>
    </row>
    <row r="2">
      <c r="A2" s="4" t="s">
        <v>3</v>
      </c>
    </row>
    <row r="5">
      <c r="A5" s="7" t="s">
        <v>18</v>
      </c>
      <c r="B5" s="8"/>
    </row>
    <row r="6">
      <c r="A6" s="9" t="s">
        <v>35</v>
      </c>
      <c r="B6" s="10" t="s">
        <v>36</v>
      </c>
    </row>
    <row r="7">
      <c r="A7" s="9" t="s">
        <v>37</v>
      </c>
      <c r="B7" s="10" t="s">
        <v>38</v>
      </c>
    </row>
    <row r="8">
      <c r="A8" s="9" t="s">
        <v>39</v>
      </c>
      <c r="B8" s="10" t="s">
        <v>40</v>
      </c>
    </row>
    <row r="10">
      <c r="A10" s="7" t="s">
        <v>43</v>
      </c>
      <c r="B10" s="8"/>
    </row>
    <row r="11">
      <c r="A11" s="9" t="s">
        <v>45</v>
      </c>
      <c r="B11" s="10" t="s">
        <v>47</v>
      </c>
    </row>
    <row r="12">
      <c r="A12" s="9" t="s">
        <v>50</v>
      </c>
      <c r="B12" s="10" t="s">
        <v>51</v>
      </c>
    </row>
    <row r="13">
      <c r="A13" s="9" t="s">
        <v>55</v>
      </c>
      <c r="B13" s="10" t="s">
        <v>56</v>
      </c>
    </row>
    <row r="15">
      <c r="A15" s="7" t="s">
        <v>61</v>
      </c>
      <c r="B15" s="8"/>
    </row>
    <row r="16">
      <c r="A16" s="9" t="s">
        <v>64</v>
      </c>
      <c r="B16" s="10" t="s">
        <v>65</v>
      </c>
    </row>
    <row r="17">
      <c r="A17" s="9" t="s">
        <v>70</v>
      </c>
      <c r="B17" s="10" t="s">
        <v>71</v>
      </c>
    </row>
    <row r="18">
      <c r="A18" s="9" t="s">
        <v>75</v>
      </c>
      <c r="B18" s="10" t="s">
        <v>76</v>
      </c>
    </row>
    <row r="19">
      <c r="A19" s="9" t="s">
        <v>80</v>
      </c>
      <c r="B19" s="10" t="s">
        <v>81</v>
      </c>
    </row>
    <row r="20">
      <c r="A20" s="9" t="s">
        <v>84</v>
      </c>
      <c r="B20" s="10" t="s">
        <v>86</v>
      </c>
    </row>
    <row r="21">
      <c r="A21" s="9" t="s">
        <v>88</v>
      </c>
      <c r="B21" s="10" t="s">
        <v>90</v>
      </c>
    </row>
    <row r="22">
      <c r="A22" s="9" t="s">
        <v>92</v>
      </c>
      <c r="B22" s="10" t="s">
        <v>94</v>
      </c>
    </row>
    <row r="23">
      <c r="A23" s="9" t="s">
        <v>97</v>
      </c>
      <c r="B23" s="10" t="s">
        <v>98</v>
      </c>
    </row>
    <row r="24">
      <c r="A24" s="9" t="s">
        <v>102</v>
      </c>
      <c r="B24" s="10" t="s">
        <v>104</v>
      </c>
    </row>
    <row r="25"/>
    <row r="26">
      <c r="A26" s="7" t="s">
        <v>108</v>
      </c>
      <c r="B26" s="8"/>
    </row>
    <row r="27">
      <c r="A27" s="9" t="s">
        <v>111</v>
      </c>
      <c r="B27" s="10" t="s">
        <v>113</v>
      </c>
    </row>
    <row r="28">
      <c r="A28" s="9" t="s">
        <v>117</v>
      </c>
      <c r="B28" s="10" t="s">
        <v>118</v>
      </c>
    </row>
    <row r="29">
      <c r="A29" s="9" t="s">
        <v>122</v>
      </c>
      <c r="B29" s="10" t="s">
        <v>124</v>
      </c>
    </row>
    <row r="30"/>
    <row r="31">
      <c r="A31" s="7" t="s">
        <v>127</v>
      </c>
      <c r="B31" s="8"/>
    </row>
    <row r="32">
      <c r="A32" s="9" t="s">
        <v>131</v>
      </c>
      <c r="B32" s="10" t="s">
        <v>132</v>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8.75"/>
    <col customWidth="1" min="3" max="3" width="29.75"/>
    <col customWidth="1" min="4" max="4" width="63.0"/>
    <col customWidth="1" min="5" max="26" width="7.63"/>
  </cols>
  <sheetData>
    <row r="1" ht="33.75" customHeight="1">
      <c r="A1" s="3" t="s">
        <v>4</v>
      </c>
      <c r="B1" s="3" t="s">
        <v>14</v>
      </c>
      <c r="C1" s="3" t="s">
        <v>15</v>
      </c>
      <c r="D1" s="3" t="s">
        <v>16</v>
      </c>
    </row>
    <row r="2">
      <c r="A2" s="6" t="s">
        <v>17</v>
      </c>
      <c r="B2" s="6" t="s">
        <v>32</v>
      </c>
      <c r="C2" s="6" t="s">
        <v>33</v>
      </c>
      <c r="D2" s="6" t="s">
        <v>34</v>
      </c>
    </row>
    <row r="3">
      <c r="A3" s="11"/>
      <c r="B3" s="11" t="s">
        <v>41</v>
      </c>
      <c r="C3" s="11" t="s">
        <v>42</v>
      </c>
      <c r="D3" s="11" t="s">
        <v>44</v>
      </c>
    </row>
    <row r="4">
      <c r="A4" s="6"/>
      <c r="B4" s="6" t="s">
        <v>46</v>
      </c>
      <c r="C4" s="6" t="s">
        <v>48</v>
      </c>
      <c r="D4" s="6" t="s">
        <v>49</v>
      </c>
    </row>
    <row r="5">
      <c r="A5" s="11"/>
      <c r="B5" s="11" t="s">
        <v>52</v>
      </c>
      <c r="C5" s="11" t="s">
        <v>53</v>
      </c>
      <c r="D5" s="11" t="s">
        <v>54</v>
      </c>
    </row>
    <row r="6">
      <c r="A6" s="6"/>
      <c r="B6" s="6" t="s">
        <v>57</v>
      </c>
      <c r="C6" s="6" t="s">
        <v>58</v>
      </c>
      <c r="D6" s="6" t="s">
        <v>59</v>
      </c>
    </row>
    <row r="7">
      <c r="A7" s="11"/>
      <c r="B7" s="11" t="s">
        <v>60</v>
      </c>
      <c r="C7" s="11" t="s">
        <v>62</v>
      </c>
      <c r="D7" s="11" t="s">
        <v>63</v>
      </c>
    </row>
    <row r="8">
      <c r="A8" s="6" t="s">
        <v>66</v>
      </c>
      <c r="B8" s="6" t="s">
        <v>67</v>
      </c>
      <c r="C8" s="6" t="s">
        <v>68</v>
      </c>
      <c r="D8" s="6" t="s">
        <v>69</v>
      </c>
    </row>
    <row r="9">
      <c r="A9" s="11"/>
      <c r="B9" s="11" t="s">
        <v>72</v>
      </c>
      <c r="C9" s="11" t="s">
        <v>73</v>
      </c>
      <c r="D9" s="11" t="s">
        <v>74</v>
      </c>
    </row>
    <row r="10">
      <c r="A10" s="6"/>
      <c r="B10" s="6" t="s">
        <v>77</v>
      </c>
      <c r="C10" s="6" t="s">
        <v>78</v>
      </c>
      <c r="D10" s="6" t="s">
        <v>79</v>
      </c>
    </row>
    <row r="11">
      <c r="A11" s="11"/>
      <c r="B11" s="11" t="s">
        <v>82</v>
      </c>
      <c r="C11" s="11" t="s">
        <v>83</v>
      </c>
      <c r="D11" s="11" t="s">
        <v>85</v>
      </c>
    </row>
    <row r="12">
      <c r="A12" s="6"/>
      <c r="B12" s="6" t="s">
        <v>87</v>
      </c>
      <c r="C12" s="6" t="s">
        <v>89</v>
      </c>
      <c r="D12" s="6" t="s">
        <v>91</v>
      </c>
    </row>
    <row r="13">
      <c r="A13" s="11"/>
      <c r="B13" s="11" t="s">
        <v>93</v>
      </c>
      <c r="C13" s="11" t="s">
        <v>95</v>
      </c>
      <c r="D13" s="11" t="s">
        <v>96</v>
      </c>
    </row>
    <row r="14">
      <c r="A14" s="6" t="s">
        <v>99</v>
      </c>
      <c r="B14" s="6" t="s">
        <v>100</v>
      </c>
      <c r="C14" s="6" t="s">
        <v>101</v>
      </c>
      <c r="D14" s="6" t="s">
        <v>103</v>
      </c>
    </row>
    <row r="15">
      <c r="A15" s="11"/>
      <c r="B15" s="11" t="s">
        <v>105</v>
      </c>
      <c r="C15" s="11" t="s">
        <v>106</v>
      </c>
      <c r="D15" s="11" t="s">
        <v>107</v>
      </c>
    </row>
    <row r="16">
      <c r="A16" s="6"/>
      <c r="B16" s="6" t="s">
        <v>109</v>
      </c>
      <c r="C16" s="6" t="s">
        <v>110</v>
      </c>
      <c r="D16" s="6" t="s">
        <v>112</v>
      </c>
    </row>
    <row r="17">
      <c r="A17" s="11"/>
      <c r="B17" s="11" t="s">
        <v>114</v>
      </c>
      <c r="C17" s="11" t="s">
        <v>115</v>
      </c>
      <c r="D17" s="11" t="s">
        <v>116</v>
      </c>
    </row>
    <row r="18">
      <c r="A18" s="6"/>
      <c r="B18" s="6" t="s">
        <v>119</v>
      </c>
      <c r="C18" s="6" t="s">
        <v>120</v>
      </c>
      <c r="D18" s="6" t="s">
        <v>121</v>
      </c>
    </row>
    <row r="19">
      <c r="A19" s="11"/>
      <c r="B19" s="11" t="s">
        <v>123</v>
      </c>
      <c r="C19" s="11" t="s">
        <v>125</v>
      </c>
      <c r="D19" s="11" t="s">
        <v>126</v>
      </c>
    </row>
    <row r="20">
      <c r="A20" s="6"/>
      <c r="B20" s="6" t="s">
        <v>128</v>
      </c>
      <c r="C20" s="6" t="s">
        <v>129</v>
      </c>
      <c r="D20" s="6" t="s">
        <v>130</v>
      </c>
    </row>
    <row r="21">
      <c r="A21" s="11" t="s">
        <v>133</v>
      </c>
      <c r="B21" s="11" t="s">
        <v>134</v>
      </c>
      <c r="C21" s="11" t="s">
        <v>135</v>
      </c>
      <c r="D21" s="11" t="s">
        <v>136</v>
      </c>
    </row>
    <row r="22">
      <c r="A22" s="6"/>
      <c r="B22" s="6" t="s">
        <v>137</v>
      </c>
      <c r="C22" s="6" t="s">
        <v>138</v>
      </c>
      <c r="D22" s="6" t="s">
        <v>139</v>
      </c>
    </row>
    <row r="23">
      <c r="A23" s="11"/>
      <c r="B23" s="11" t="s">
        <v>140</v>
      </c>
      <c r="C23" s="11" t="s">
        <v>141</v>
      </c>
      <c r="D23" s="11" t="s">
        <v>142</v>
      </c>
    </row>
    <row r="24">
      <c r="A24" s="6"/>
      <c r="B24" s="6" t="s">
        <v>143</v>
      </c>
      <c r="C24" s="6" t="s">
        <v>144</v>
      </c>
      <c r="D24" s="6" t="s">
        <v>145</v>
      </c>
    </row>
    <row r="25">
      <c r="A25" s="11"/>
      <c r="B25" s="11" t="s">
        <v>146</v>
      </c>
      <c r="C25" s="11" t="s">
        <v>147</v>
      </c>
      <c r="D25" s="11" t="s">
        <v>148</v>
      </c>
    </row>
    <row r="26">
      <c r="A26" s="6"/>
      <c r="B26" s="6" t="s">
        <v>149</v>
      </c>
      <c r="C26" s="6" t="s">
        <v>150</v>
      </c>
      <c r="D26" s="6" t="s">
        <v>151</v>
      </c>
    </row>
    <row r="27">
      <c r="A27" s="11" t="s">
        <v>152</v>
      </c>
      <c r="B27" s="11" t="s">
        <v>153</v>
      </c>
      <c r="C27" s="11" t="s">
        <v>154</v>
      </c>
      <c r="D27" s="11" t="s">
        <v>155</v>
      </c>
    </row>
    <row r="28">
      <c r="A28" s="6"/>
      <c r="B28" s="6" t="s">
        <v>156</v>
      </c>
      <c r="C28" s="6" t="s">
        <v>157</v>
      </c>
      <c r="D28" s="6" t="s">
        <v>158</v>
      </c>
    </row>
    <row r="29">
      <c r="A29" s="11"/>
      <c r="B29" s="11" t="s">
        <v>159</v>
      </c>
      <c r="C29" s="11" t="s">
        <v>160</v>
      </c>
      <c r="D29" s="11" t="s">
        <v>161</v>
      </c>
    </row>
    <row r="30">
      <c r="A30" s="6"/>
      <c r="B30" s="6" t="s">
        <v>162</v>
      </c>
      <c r="C30" s="6" t="s">
        <v>163</v>
      </c>
      <c r="D30" s="6" t="s">
        <v>164</v>
      </c>
    </row>
    <row r="31">
      <c r="A31" s="11"/>
      <c r="B31" s="11" t="s">
        <v>165</v>
      </c>
      <c r="C31" s="11" t="s">
        <v>166</v>
      </c>
      <c r="D31" s="11" t="s">
        <v>167</v>
      </c>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2.75"/>
    <col customWidth="1" min="3" max="3" width="36.75"/>
    <col customWidth="1" min="4" max="4" width="57.75"/>
    <col customWidth="1" min="5" max="5" width="22.75"/>
    <col customWidth="1" min="6" max="6" width="12.25"/>
    <col customWidth="1" min="7" max="26" width="7.63"/>
  </cols>
  <sheetData>
    <row r="1" ht="33.75" customHeight="1">
      <c r="A1" s="3" t="s">
        <v>168</v>
      </c>
      <c r="B1" s="3" t="s">
        <v>170</v>
      </c>
      <c r="C1" s="3" t="s">
        <v>172</v>
      </c>
      <c r="D1" s="3" t="s">
        <v>173</v>
      </c>
      <c r="E1" s="3" t="s">
        <v>175</v>
      </c>
      <c r="F1" s="3" t="s">
        <v>176</v>
      </c>
    </row>
    <row r="2">
      <c r="A2" s="6" t="s">
        <v>177</v>
      </c>
      <c r="B2" s="6" t="s">
        <v>178</v>
      </c>
      <c r="C2" s="6" t="s">
        <v>179</v>
      </c>
      <c r="D2" s="6" t="s">
        <v>180</v>
      </c>
      <c r="E2" s="6" t="s">
        <v>181</v>
      </c>
      <c r="F2" s="6" t="s">
        <v>182</v>
      </c>
    </row>
    <row r="3">
      <c r="A3" s="11" t="s">
        <v>183</v>
      </c>
      <c r="B3" s="11" t="s">
        <v>184</v>
      </c>
      <c r="C3" s="11" t="s">
        <v>185</v>
      </c>
      <c r="D3" s="11" t="s">
        <v>186</v>
      </c>
      <c r="E3" s="11" t="s">
        <v>187</v>
      </c>
      <c r="F3" s="11" t="s">
        <v>189</v>
      </c>
    </row>
    <row r="4">
      <c r="A4" s="6" t="s">
        <v>192</v>
      </c>
      <c r="B4" s="6" t="s">
        <v>193</v>
      </c>
      <c r="C4" s="6" t="s">
        <v>195</v>
      </c>
      <c r="D4" s="6" t="s">
        <v>196</v>
      </c>
      <c r="E4" s="6" t="s">
        <v>198</v>
      </c>
      <c r="F4" s="6" t="s">
        <v>200</v>
      </c>
    </row>
    <row r="5">
      <c r="A5" s="11" t="s">
        <v>202</v>
      </c>
      <c r="B5" s="11" t="s">
        <v>203</v>
      </c>
      <c r="C5" s="11" t="s">
        <v>205</v>
      </c>
      <c r="D5" s="11" t="s">
        <v>207</v>
      </c>
      <c r="E5" s="11" t="s">
        <v>220</v>
      </c>
      <c r="F5" s="11" t="s">
        <v>200</v>
      </c>
    </row>
    <row r="6">
      <c r="A6" s="6" t="s">
        <v>227</v>
      </c>
      <c r="B6" s="6" t="s">
        <v>229</v>
      </c>
      <c r="C6" s="6" t="s">
        <v>230</v>
      </c>
      <c r="D6" s="6" t="s">
        <v>231</v>
      </c>
      <c r="E6" s="6" t="s">
        <v>234</v>
      </c>
      <c r="F6" s="6" t="s">
        <v>182</v>
      </c>
    </row>
    <row r="7">
      <c r="A7" s="11" t="s">
        <v>251</v>
      </c>
      <c r="B7" s="11" t="s">
        <v>260</v>
      </c>
      <c r="C7" s="11" t="s">
        <v>262</v>
      </c>
      <c r="D7" s="11" t="s">
        <v>266</v>
      </c>
      <c r="E7" s="11" t="s">
        <v>268</v>
      </c>
      <c r="F7" s="11" t="s">
        <v>270</v>
      </c>
    </row>
    <row r="8">
      <c r="A8" s="6" t="s">
        <v>273</v>
      </c>
      <c r="B8" s="6" t="s">
        <v>276</v>
      </c>
      <c r="C8" s="6" t="s">
        <v>278</v>
      </c>
      <c r="D8" s="6" t="s">
        <v>280</v>
      </c>
      <c r="E8" s="6" t="s">
        <v>286</v>
      </c>
      <c r="F8" s="6" t="s">
        <v>288</v>
      </c>
    </row>
    <row r="9">
      <c r="A9" s="11" t="s">
        <v>293</v>
      </c>
      <c r="B9" s="11" t="s">
        <v>294</v>
      </c>
      <c r="C9" s="11" t="s">
        <v>296</v>
      </c>
      <c r="D9" s="11" t="s">
        <v>297</v>
      </c>
      <c r="E9" s="11" t="s">
        <v>299</v>
      </c>
      <c r="F9" s="11" t="s">
        <v>200</v>
      </c>
    </row>
    <row r="10">
      <c r="A10" s="6" t="s">
        <v>300</v>
      </c>
      <c r="B10" s="6" t="s">
        <v>303</v>
      </c>
      <c r="C10" s="6" t="s">
        <v>307</v>
      </c>
      <c r="D10" s="6" t="s">
        <v>314</v>
      </c>
      <c r="E10" s="6" t="s">
        <v>315</v>
      </c>
      <c r="F10" s="6" t="s">
        <v>182</v>
      </c>
    </row>
    <row r="11">
      <c r="A11" s="11" t="s">
        <v>318</v>
      </c>
      <c r="B11" s="11" t="s">
        <v>320</v>
      </c>
      <c r="C11" s="11" t="s">
        <v>321</v>
      </c>
      <c r="D11" s="11" t="s">
        <v>322</v>
      </c>
      <c r="E11" s="11" t="s">
        <v>333</v>
      </c>
      <c r="F11" s="11" t="s">
        <v>335</v>
      </c>
    </row>
    <row r="12">
      <c r="A12" s="6" t="s">
        <v>336</v>
      </c>
      <c r="B12" s="6" t="s">
        <v>338</v>
      </c>
      <c r="C12" s="6" t="s">
        <v>340</v>
      </c>
      <c r="D12" s="6" t="s">
        <v>341</v>
      </c>
      <c r="E12" s="6" t="s">
        <v>346</v>
      </c>
      <c r="F12" s="6" t="s">
        <v>348</v>
      </c>
    </row>
    <row r="13">
      <c r="A13" s="11" t="s">
        <v>350</v>
      </c>
      <c r="B13" s="11" t="s">
        <v>352</v>
      </c>
      <c r="C13" s="11" t="s">
        <v>355</v>
      </c>
      <c r="D13" s="11" t="s">
        <v>357</v>
      </c>
      <c r="E13" s="11" t="s">
        <v>359</v>
      </c>
      <c r="F13" s="11" t="s">
        <v>360</v>
      </c>
    </row>
    <row r="14">
      <c r="A14" s="6" t="s">
        <v>361</v>
      </c>
      <c r="B14" s="6" t="s">
        <v>364</v>
      </c>
      <c r="C14" s="6" t="s">
        <v>367</v>
      </c>
      <c r="D14" s="6" t="s">
        <v>369</v>
      </c>
      <c r="E14" s="6" t="s">
        <v>370</v>
      </c>
      <c r="F14" s="6" t="s">
        <v>189</v>
      </c>
    </row>
    <row r="15">
      <c r="A15" s="11" t="s">
        <v>376</v>
      </c>
      <c r="B15" s="11" t="s">
        <v>378</v>
      </c>
      <c r="C15" s="11" t="s">
        <v>380</v>
      </c>
      <c r="D15" s="11" t="s">
        <v>381</v>
      </c>
      <c r="E15" s="11" t="s">
        <v>383</v>
      </c>
      <c r="F15" s="11" t="s">
        <v>385</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6.25"/>
    <col customWidth="1" min="3" max="3" width="10.13"/>
    <col customWidth="1" min="4" max="4" width="11.38"/>
    <col customWidth="1" min="5" max="5" width="17.5"/>
    <col customWidth="1" min="6" max="6" width="9.63"/>
    <col customWidth="1" min="7" max="7" width="35.0"/>
    <col customWidth="1" min="8" max="8" width="8.75"/>
    <col customWidth="1" min="9" max="9" width="12.25"/>
    <col customWidth="1" min="10" max="10" width="10.5"/>
    <col customWidth="1" min="11" max="26" width="7.63"/>
  </cols>
  <sheetData>
    <row r="1" ht="33.75" customHeight="1">
      <c r="A1" s="3" t="s">
        <v>169</v>
      </c>
      <c r="B1" s="3" t="s">
        <v>171</v>
      </c>
      <c r="C1" s="12" t="s">
        <v>174</v>
      </c>
      <c r="D1" s="3" t="s">
        <v>206</v>
      </c>
      <c r="E1" s="3" t="s">
        <v>209</v>
      </c>
      <c r="F1" s="3" t="s">
        <v>218</v>
      </c>
      <c r="G1" s="3" t="s">
        <v>222</v>
      </c>
      <c r="H1" s="3" t="s">
        <v>199</v>
      </c>
      <c r="I1" s="3" t="s">
        <v>176</v>
      </c>
      <c r="J1" s="3" t="s">
        <v>201</v>
      </c>
    </row>
    <row r="2">
      <c r="A2" s="6" t="s">
        <v>232</v>
      </c>
      <c r="B2" s="6" t="s">
        <v>235</v>
      </c>
      <c r="C2" s="6" t="s">
        <v>237</v>
      </c>
      <c r="D2" s="6" t="s">
        <v>240</v>
      </c>
      <c r="E2" s="6" t="s">
        <v>243</v>
      </c>
      <c r="F2" s="6" t="s">
        <v>246</v>
      </c>
      <c r="G2" s="6" t="s">
        <v>248</v>
      </c>
      <c r="H2" s="6" t="s">
        <v>215</v>
      </c>
      <c r="I2" s="6" t="s">
        <v>182</v>
      </c>
      <c r="J2" s="6" t="s">
        <v>216</v>
      </c>
    </row>
    <row r="3">
      <c r="A3" s="11" t="s">
        <v>253</v>
      </c>
      <c r="B3" s="11" t="s">
        <v>235</v>
      </c>
      <c r="C3" s="11" t="s">
        <v>237</v>
      </c>
      <c r="D3" s="11" t="s">
        <v>258</v>
      </c>
      <c r="E3" s="11" t="s">
        <v>243</v>
      </c>
      <c r="F3" s="11" t="s">
        <v>246</v>
      </c>
      <c r="G3" s="11" t="s">
        <v>272</v>
      </c>
      <c r="H3" s="11" t="s">
        <v>215</v>
      </c>
      <c r="I3" s="11" t="s">
        <v>182</v>
      </c>
      <c r="J3" s="11" t="s">
        <v>216</v>
      </c>
    </row>
    <row r="4">
      <c r="A4" s="6" t="s">
        <v>282</v>
      </c>
      <c r="B4" s="6" t="s">
        <v>284</v>
      </c>
      <c r="C4" s="6" t="s">
        <v>237</v>
      </c>
      <c r="D4" s="6" t="s">
        <v>240</v>
      </c>
      <c r="E4" s="6" t="s">
        <v>292</v>
      </c>
      <c r="F4" s="6" t="s">
        <v>246</v>
      </c>
      <c r="G4" s="6" t="s">
        <v>248</v>
      </c>
      <c r="H4" s="6" t="s">
        <v>215</v>
      </c>
      <c r="I4" s="6" t="s">
        <v>182</v>
      </c>
      <c r="J4" s="6" t="s">
        <v>216</v>
      </c>
    </row>
    <row r="5">
      <c r="A5" s="11" t="s">
        <v>301</v>
      </c>
      <c r="B5" s="11" t="s">
        <v>304</v>
      </c>
      <c r="C5" s="11" t="s">
        <v>237</v>
      </c>
      <c r="D5" s="11" t="s">
        <v>240</v>
      </c>
      <c r="E5" s="11" t="s">
        <v>329</v>
      </c>
      <c r="F5" s="11" t="s">
        <v>246</v>
      </c>
      <c r="G5" s="11" t="s">
        <v>334</v>
      </c>
      <c r="H5" s="11" t="s">
        <v>298</v>
      </c>
      <c r="I5" s="11" t="s">
        <v>182</v>
      </c>
      <c r="J5" s="11" t="s">
        <v>216</v>
      </c>
    </row>
    <row r="6">
      <c r="A6" s="6" t="s">
        <v>343</v>
      </c>
      <c r="B6" s="6" t="s">
        <v>345</v>
      </c>
      <c r="C6" s="6" t="s">
        <v>347</v>
      </c>
      <c r="D6" s="6" t="s">
        <v>258</v>
      </c>
      <c r="E6" s="6" t="s">
        <v>329</v>
      </c>
      <c r="F6" s="6" t="s">
        <v>354</v>
      </c>
      <c r="G6" s="6" t="s">
        <v>356</v>
      </c>
      <c r="H6" s="6" t="s">
        <v>215</v>
      </c>
      <c r="I6" s="6" t="s">
        <v>335</v>
      </c>
      <c r="J6" s="6" t="s">
        <v>216</v>
      </c>
    </row>
    <row r="7">
      <c r="A7" s="11" t="s">
        <v>365</v>
      </c>
      <c r="B7" s="11" t="s">
        <v>345</v>
      </c>
      <c r="C7" s="11" t="s">
        <v>347</v>
      </c>
      <c r="D7" s="11" t="s">
        <v>371</v>
      </c>
      <c r="E7" s="11" t="s">
        <v>372</v>
      </c>
      <c r="F7" s="11" t="s">
        <v>354</v>
      </c>
      <c r="G7" s="11" t="s">
        <v>375</v>
      </c>
      <c r="H7" s="11" t="s">
        <v>298</v>
      </c>
      <c r="I7" s="11" t="s">
        <v>335</v>
      </c>
      <c r="J7" s="11" t="s">
        <v>216</v>
      </c>
    </row>
    <row r="8">
      <c r="A8" s="6" t="s">
        <v>384</v>
      </c>
      <c r="B8" s="6" t="s">
        <v>386</v>
      </c>
      <c r="C8" s="6" t="s">
        <v>347</v>
      </c>
      <c r="D8" s="6" t="s">
        <v>389</v>
      </c>
      <c r="E8" s="6" t="s">
        <v>392</v>
      </c>
      <c r="F8" s="6" t="s">
        <v>354</v>
      </c>
      <c r="G8" s="6" t="s">
        <v>396</v>
      </c>
      <c r="H8" s="6" t="s">
        <v>398</v>
      </c>
      <c r="I8" s="6" t="s">
        <v>335</v>
      </c>
      <c r="J8" s="6" t="s">
        <v>216</v>
      </c>
    </row>
    <row r="9">
      <c r="A9" s="11" t="s">
        <v>401</v>
      </c>
      <c r="B9" s="11" t="s">
        <v>404</v>
      </c>
      <c r="C9" s="11" t="s">
        <v>347</v>
      </c>
      <c r="D9" s="11" t="s">
        <v>258</v>
      </c>
      <c r="E9" s="11" t="s">
        <v>408</v>
      </c>
      <c r="F9" s="11" t="s">
        <v>354</v>
      </c>
      <c r="G9" s="11" t="s">
        <v>410</v>
      </c>
      <c r="H9" s="11" t="s">
        <v>215</v>
      </c>
      <c r="I9" s="11" t="s">
        <v>335</v>
      </c>
      <c r="J9" s="11" t="s">
        <v>216</v>
      </c>
    </row>
    <row r="10">
      <c r="A10" s="6" t="s">
        <v>417</v>
      </c>
      <c r="B10" s="6" t="s">
        <v>404</v>
      </c>
      <c r="C10" s="6" t="s">
        <v>347</v>
      </c>
      <c r="D10" s="6" t="s">
        <v>371</v>
      </c>
      <c r="E10" s="6" t="s">
        <v>329</v>
      </c>
      <c r="F10" s="6" t="s">
        <v>354</v>
      </c>
      <c r="G10" s="6" t="s">
        <v>421</v>
      </c>
      <c r="H10" s="6" t="s">
        <v>215</v>
      </c>
      <c r="I10" s="6" t="s">
        <v>335</v>
      </c>
      <c r="J10" s="6" t="s">
        <v>216</v>
      </c>
    </row>
    <row r="11">
      <c r="A11" s="11" t="s">
        <v>430</v>
      </c>
      <c r="B11" s="11" t="s">
        <v>431</v>
      </c>
      <c r="C11" s="11" t="s">
        <v>347</v>
      </c>
      <c r="D11" s="11" t="s">
        <v>433</v>
      </c>
      <c r="E11" s="11" t="s">
        <v>408</v>
      </c>
      <c r="F11" s="11" t="s">
        <v>436</v>
      </c>
      <c r="G11" s="11" t="s">
        <v>438</v>
      </c>
      <c r="H11" s="11" t="s">
        <v>215</v>
      </c>
      <c r="I11" s="11" t="s">
        <v>182</v>
      </c>
      <c r="J11" s="11" t="s">
        <v>216</v>
      </c>
    </row>
    <row r="12">
      <c r="A12" s="6" t="s">
        <v>441</v>
      </c>
      <c r="B12" s="6" t="s">
        <v>443</v>
      </c>
      <c r="C12" s="6" t="s">
        <v>347</v>
      </c>
      <c r="D12" s="6" t="s">
        <v>447</v>
      </c>
      <c r="E12" s="6" t="s">
        <v>450</v>
      </c>
      <c r="F12" s="6" t="s">
        <v>354</v>
      </c>
      <c r="G12" s="6" t="s">
        <v>452</v>
      </c>
      <c r="H12" s="6" t="s">
        <v>298</v>
      </c>
      <c r="I12" s="6" t="s">
        <v>335</v>
      </c>
      <c r="J12" s="6" t="s">
        <v>216</v>
      </c>
    </row>
    <row r="13">
      <c r="A13" s="11" t="s">
        <v>457</v>
      </c>
      <c r="B13" s="11" t="s">
        <v>459</v>
      </c>
      <c r="C13" s="11" t="s">
        <v>347</v>
      </c>
      <c r="D13" s="11" t="s">
        <v>389</v>
      </c>
      <c r="E13" s="11" t="s">
        <v>392</v>
      </c>
      <c r="F13" s="11" t="s">
        <v>354</v>
      </c>
      <c r="G13" s="11" t="s">
        <v>464</v>
      </c>
      <c r="H13" s="11" t="s">
        <v>298</v>
      </c>
      <c r="I13" s="11" t="s">
        <v>335</v>
      </c>
      <c r="J13" s="11" t="s">
        <v>216</v>
      </c>
    </row>
    <row r="14">
      <c r="A14" s="6" t="s">
        <v>470</v>
      </c>
      <c r="B14" s="6" t="s">
        <v>473</v>
      </c>
      <c r="C14" s="6" t="s">
        <v>347</v>
      </c>
      <c r="D14" s="6" t="s">
        <v>433</v>
      </c>
      <c r="E14" s="6" t="s">
        <v>329</v>
      </c>
      <c r="F14" s="6" t="s">
        <v>476</v>
      </c>
      <c r="G14" s="6" t="s">
        <v>478</v>
      </c>
      <c r="H14" s="6" t="s">
        <v>298</v>
      </c>
      <c r="I14" s="6" t="s">
        <v>335</v>
      </c>
      <c r="J14" s="6" t="s">
        <v>216</v>
      </c>
    </row>
    <row r="15">
      <c r="A15" s="11" t="s">
        <v>483</v>
      </c>
      <c r="B15" s="11" t="s">
        <v>484</v>
      </c>
      <c r="C15" s="11" t="s">
        <v>347</v>
      </c>
      <c r="D15" s="11" t="s">
        <v>371</v>
      </c>
      <c r="E15" s="11" t="s">
        <v>372</v>
      </c>
      <c r="F15" s="11" t="s">
        <v>476</v>
      </c>
      <c r="G15" s="11" t="s">
        <v>489</v>
      </c>
      <c r="H15" s="11" t="s">
        <v>398</v>
      </c>
      <c r="I15" s="11" t="s">
        <v>335</v>
      </c>
      <c r="J15" s="11" t="s">
        <v>216</v>
      </c>
    </row>
    <row r="16">
      <c r="A16" s="6" t="s">
        <v>494</v>
      </c>
      <c r="B16" s="6" t="s">
        <v>496</v>
      </c>
      <c r="C16" s="6" t="s">
        <v>347</v>
      </c>
      <c r="D16" s="6" t="s">
        <v>258</v>
      </c>
      <c r="E16" s="6" t="s">
        <v>329</v>
      </c>
      <c r="F16" s="6" t="s">
        <v>354</v>
      </c>
      <c r="G16" s="6" t="s">
        <v>502</v>
      </c>
      <c r="H16" s="6" t="s">
        <v>215</v>
      </c>
      <c r="I16" s="6" t="s">
        <v>335</v>
      </c>
      <c r="J16" s="6" t="s">
        <v>216</v>
      </c>
    </row>
    <row r="17">
      <c r="A17" s="11" t="s">
        <v>510</v>
      </c>
      <c r="B17" s="11" t="s">
        <v>496</v>
      </c>
      <c r="C17" s="11" t="s">
        <v>347</v>
      </c>
      <c r="D17" s="11" t="s">
        <v>433</v>
      </c>
      <c r="E17" s="11" t="s">
        <v>408</v>
      </c>
      <c r="F17" s="11" t="s">
        <v>354</v>
      </c>
      <c r="G17" s="11" t="s">
        <v>513</v>
      </c>
      <c r="H17" s="11" t="s">
        <v>298</v>
      </c>
      <c r="I17" s="11" t="s">
        <v>335</v>
      </c>
      <c r="J17" s="11" t="s">
        <v>216</v>
      </c>
    </row>
    <row r="18">
      <c r="A18" s="6" t="s">
        <v>517</v>
      </c>
      <c r="B18" s="6" t="s">
        <v>518</v>
      </c>
      <c r="C18" s="6" t="s">
        <v>347</v>
      </c>
      <c r="D18" s="6" t="s">
        <v>258</v>
      </c>
      <c r="E18" s="6" t="s">
        <v>408</v>
      </c>
      <c r="F18" s="6" t="s">
        <v>354</v>
      </c>
      <c r="G18" s="6" t="s">
        <v>502</v>
      </c>
      <c r="H18" s="6" t="s">
        <v>215</v>
      </c>
      <c r="I18" s="6" t="s">
        <v>335</v>
      </c>
      <c r="J18" s="6" t="s">
        <v>216</v>
      </c>
    </row>
    <row r="19">
      <c r="A19" s="11" t="s">
        <v>519</v>
      </c>
      <c r="B19" s="11" t="s">
        <v>520</v>
      </c>
      <c r="C19" s="11" t="s">
        <v>347</v>
      </c>
      <c r="D19" s="11" t="s">
        <v>433</v>
      </c>
      <c r="E19" s="11" t="s">
        <v>408</v>
      </c>
      <c r="F19" s="11" t="s">
        <v>436</v>
      </c>
      <c r="G19" s="11" t="s">
        <v>521</v>
      </c>
      <c r="H19" s="11" t="s">
        <v>215</v>
      </c>
      <c r="I19" s="11" t="s">
        <v>335</v>
      </c>
      <c r="J19" s="11" t="s">
        <v>216</v>
      </c>
    </row>
    <row r="20">
      <c r="A20" s="6" t="s">
        <v>522</v>
      </c>
      <c r="B20" s="6" t="s">
        <v>523</v>
      </c>
      <c r="C20" s="6" t="s">
        <v>347</v>
      </c>
      <c r="D20" s="6" t="s">
        <v>258</v>
      </c>
      <c r="E20" s="6" t="s">
        <v>408</v>
      </c>
      <c r="F20" s="6" t="s">
        <v>436</v>
      </c>
      <c r="G20" s="6" t="s">
        <v>524</v>
      </c>
      <c r="H20" s="6" t="s">
        <v>298</v>
      </c>
      <c r="I20" s="6" t="s">
        <v>335</v>
      </c>
      <c r="J20" s="6" t="s">
        <v>216</v>
      </c>
    </row>
    <row r="21">
      <c r="A21" s="11" t="s">
        <v>525</v>
      </c>
      <c r="B21" s="11" t="s">
        <v>526</v>
      </c>
      <c r="C21" s="11" t="s">
        <v>347</v>
      </c>
      <c r="D21" s="11" t="s">
        <v>258</v>
      </c>
      <c r="E21" s="11" t="s">
        <v>408</v>
      </c>
      <c r="F21" s="11" t="s">
        <v>354</v>
      </c>
      <c r="G21" s="11" t="s">
        <v>527</v>
      </c>
      <c r="H21" s="11" t="s">
        <v>215</v>
      </c>
      <c r="I21" s="11" t="s">
        <v>528</v>
      </c>
      <c r="J21" s="11" t="s">
        <v>216</v>
      </c>
    </row>
    <row r="22">
      <c r="A22" s="6" t="s">
        <v>529</v>
      </c>
      <c r="B22" s="6" t="s">
        <v>530</v>
      </c>
      <c r="C22" s="6" t="s">
        <v>347</v>
      </c>
      <c r="D22" s="6" t="s">
        <v>433</v>
      </c>
      <c r="E22" s="6" t="s">
        <v>408</v>
      </c>
      <c r="F22" s="6" t="s">
        <v>436</v>
      </c>
      <c r="G22" s="6" t="s">
        <v>531</v>
      </c>
      <c r="H22" s="6" t="s">
        <v>298</v>
      </c>
      <c r="I22" s="6" t="s">
        <v>528</v>
      </c>
      <c r="J22" s="6" t="s">
        <v>216</v>
      </c>
    </row>
    <row r="23">
      <c r="A23" s="11" t="s">
        <v>532</v>
      </c>
      <c r="B23" s="11" t="s">
        <v>533</v>
      </c>
      <c r="C23" s="11" t="s">
        <v>347</v>
      </c>
      <c r="D23" s="11" t="s">
        <v>371</v>
      </c>
      <c r="E23" s="11" t="s">
        <v>372</v>
      </c>
      <c r="F23" s="11" t="s">
        <v>354</v>
      </c>
      <c r="G23" s="11" t="s">
        <v>534</v>
      </c>
      <c r="H23" s="11" t="s">
        <v>298</v>
      </c>
      <c r="I23" s="11" t="s">
        <v>528</v>
      </c>
      <c r="J23" s="11" t="s">
        <v>216</v>
      </c>
    </row>
    <row r="24">
      <c r="A24" s="6" t="s">
        <v>535</v>
      </c>
      <c r="B24" s="6" t="s">
        <v>536</v>
      </c>
      <c r="C24" s="6" t="s">
        <v>347</v>
      </c>
      <c r="D24" s="6" t="s">
        <v>258</v>
      </c>
      <c r="E24" s="6" t="s">
        <v>329</v>
      </c>
      <c r="F24" s="6" t="s">
        <v>354</v>
      </c>
      <c r="G24" s="6" t="s">
        <v>537</v>
      </c>
      <c r="H24" s="6" t="s">
        <v>215</v>
      </c>
      <c r="I24" s="6" t="s">
        <v>528</v>
      </c>
      <c r="J24" s="6" t="s">
        <v>216</v>
      </c>
    </row>
    <row r="25">
      <c r="A25" s="11" t="s">
        <v>538</v>
      </c>
      <c r="B25" s="11" t="s">
        <v>539</v>
      </c>
      <c r="C25" s="11" t="s">
        <v>347</v>
      </c>
      <c r="D25" s="11" t="s">
        <v>371</v>
      </c>
      <c r="E25" s="11" t="s">
        <v>329</v>
      </c>
      <c r="F25" s="11" t="s">
        <v>354</v>
      </c>
      <c r="G25" s="11" t="s">
        <v>540</v>
      </c>
      <c r="H25" s="11" t="s">
        <v>298</v>
      </c>
      <c r="I25" s="11" t="s">
        <v>528</v>
      </c>
      <c r="J25" s="11" t="s">
        <v>216</v>
      </c>
    </row>
    <row r="26">
      <c r="A26" s="6" t="s">
        <v>541</v>
      </c>
      <c r="B26" s="6" t="s">
        <v>542</v>
      </c>
      <c r="C26" s="6" t="s">
        <v>347</v>
      </c>
      <c r="D26" s="6" t="s">
        <v>258</v>
      </c>
      <c r="E26" s="6" t="s">
        <v>329</v>
      </c>
      <c r="F26" s="6" t="s">
        <v>354</v>
      </c>
      <c r="G26" s="6" t="s">
        <v>543</v>
      </c>
      <c r="H26" s="6" t="s">
        <v>215</v>
      </c>
      <c r="I26" s="6" t="s">
        <v>335</v>
      </c>
      <c r="J26" s="6" t="s">
        <v>216</v>
      </c>
    </row>
    <row r="27">
      <c r="A27" s="11" t="s">
        <v>544</v>
      </c>
      <c r="B27" s="11" t="s">
        <v>545</v>
      </c>
      <c r="C27" s="11" t="s">
        <v>347</v>
      </c>
      <c r="D27" s="11" t="s">
        <v>433</v>
      </c>
      <c r="E27" s="11" t="s">
        <v>408</v>
      </c>
      <c r="F27" s="11" t="s">
        <v>436</v>
      </c>
      <c r="G27" s="11" t="s">
        <v>410</v>
      </c>
      <c r="H27" s="11" t="s">
        <v>298</v>
      </c>
      <c r="I27" s="11" t="s">
        <v>335</v>
      </c>
      <c r="J27" s="11" t="s">
        <v>216</v>
      </c>
    </row>
    <row r="28">
      <c r="A28" s="6" t="s">
        <v>546</v>
      </c>
      <c r="B28" s="6" t="s">
        <v>547</v>
      </c>
      <c r="C28" s="6" t="s">
        <v>347</v>
      </c>
      <c r="D28" s="6" t="s">
        <v>433</v>
      </c>
      <c r="E28" s="6" t="s">
        <v>372</v>
      </c>
      <c r="F28" s="6" t="s">
        <v>354</v>
      </c>
      <c r="G28" s="6" t="s">
        <v>548</v>
      </c>
      <c r="H28" s="6" t="s">
        <v>398</v>
      </c>
      <c r="I28" s="6" t="s">
        <v>335</v>
      </c>
      <c r="J28" s="6" t="s">
        <v>216</v>
      </c>
    </row>
    <row r="29">
      <c r="A29" s="11" t="s">
        <v>549</v>
      </c>
      <c r="B29" s="11" t="s">
        <v>550</v>
      </c>
      <c r="C29" s="11" t="s">
        <v>347</v>
      </c>
      <c r="D29" s="11" t="s">
        <v>258</v>
      </c>
      <c r="E29" s="11" t="s">
        <v>329</v>
      </c>
      <c r="F29" s="11" t="s">
        <v>551</v>
      </c>
      <c r="G29" s="11" t="s">
        <v>543</v>
      </c>
      <c r="H29" s="11" t="s">
        <v>298</v>
      </c>
      <c r="I29" s="11" t="s">
        <v>360</v>
      </c>
      <c r="J29" s="11" t="s">
        <v>216</v>
      </c>
    </row>
    <row r="30">
      <c r="A30" s="6" t="s">
        <v>552</v>
      </c>
      <c r="B30" s="6" t="s">
        <v>553</v>
      </c>
      <c r="C30" s="6" t="s">
        <v>347</v>
      </c>
      <c r="D30" s="6" t="s">
        <v>240</v>
      </c>
      <c r="E30" s="6" t="s">
        <v>292</v>
      </c>
      <c r="F30" s="6" t="s">
        <v>554</v>
      </c>
      <c r="G30" s="6" t="s">
        <v>555</v>
      </c>
      <c r="H30" s="6" t="s">
        <v>398</v>
      </c>
      <c r="I30" s="6" t="s">
        <v>335</v>
      </c>
      <c r="J30" s="6" t="s">
        <v>216</v>
      </c>
    </row>
    <row r="31">
      <c r="A31" s="11" t="s">
        <v>556</v>
      </c>
      <c r="B31" s="11" t="s">
        <v>557</v>
      </c>
      <c r="C31" s="11" t="s">
        <v>558</v>
      </c>
      <c r="D31" s="11" t="s">
        <v>371</v>
      </c>
      <c r="E31" s="11" t="s">
        <v>372</v>
      </c>
      <c r="F31" s="11" t="s">
        <v>551</v>
      </c>
      <c r="G31" s="11" t="s">
        <v>559</v>
      </c>
      <c r="H31" s="11" t="s">
        <v>298</v>
      </c>
      <c r="I31" s="11" t="s">
        <v>200</v>
      </c>
      <c r="J31" s="11" t="s">
        <v>216</v>
      </c>
    </row>
    <row r="32">
      <c r="A32" s="6" t="s">
        <v>560</v>
      </c>
      <c r="B32" s="6" t="s">
        <v>561</v>
      </c>
      <c r="C32" s="6" t="s">
        <v>558</v>
      </c>
      <c r="D32" s="6" t="s">
        <v>258</v>
      </c>
      <c r="E32" s="6" t="s">
        <v>408</v>
      </c>
      <c r="F32" s="6" t="s">
        <v>551</v>
      </c>
      <c r="G32" s="6" t="s">
        <v>562</v>
      </c>
      <c r="H32" s="6" t="s">
        <v>215</v>
      </c>
      <c r="I32" s="6" t="s">
        <v>200</v>
      </c>
      <c r="J32" s="6" t="s">
        <v>216</v>
      </c>
    </row>
    <row r="33">
      <c r="A33" s="11" t="s">
        <v>563</v>
      </c>
      <c r="B33" s="11" t="s">
        <v>564</v>
      </c>
      <c r="C33" s="11" t="s">
        <v>558</v>
      </c>
      <c r="D33" s="11" t="s">
        <v>433</v>
      </c>
      <c r="E33" s="11" t="s">
        <v>329</v>
      </c>
      <c r="F33" s="11" t="s">
        <v>551</v>
      </c>
      <c r="G33" s="11" t="s">
        <v>565</v>
      </c>
      <c r="H33" s="11" t="s">
        <v>298</v>
      </c>
      <c r="I33" s="11" t="s">
        <v>200</v>
      </c>
      <c r="J33" s="11" t="s">
        <v>216</v>
      </c>
    </row>
    <row r="34">
      <c r="A34" s="6" t="s">
        <v>566</v>
      </c>
      <c r="B34" s="6" t="s">
        <v>567</v>
      </c>
      <c r="C34" s="6" t="s">
        <v>558</v>
      </c>
      <c r="D34" s="6" t="s">
        <v>433</v>
      </c>
      <c r="E34" s="6" t="s">
        <v>372</v>
      </c>
      <c r="F34" s="6" t="s">
        <v>551</v>
      </c>
      <c r="G34" s="6" t="s">
        <v>568</v>
      </c>
      <c r="H34" s="6" t="s">
        <v>398</v>
      </c>
      <c r="I34" s="6" t="s">
        <v>200</v>
      </c>
      <c r="J34" s="6" t="s">
        <v>216</v>
      </c>
    </row>
    <row r="35">
      <c r="A35" s="11" t="s">
        <v>569</v>
      </c>
      <c r="B35" s="11" t="s">
        <v>570</v>
      </c>
      <c r="C35" s="11" t="s">
        <v>558</v>
      </c>
      <c r="D35" s="11" t="s">
        <v>371</v>
      </c>
      <c r="E35" s="11" t="s">
        <v>329</v>
      </c>
      <c r="F35" s="11" t="s">
        <v>551</v>
      </c>
      <c r="G35" s="11" t="s">
        <v>571</v>
      </c>
      <c r="H35" s="11" t="s">
        <v>298</v>
      </c>
      <c r="I35" s="11" t="s">
        <v>572</v>
      </c>
      <c r="J35" s="11" t="s">
        <v>216</v>
      </c>
    </row>
    <row r="36">
      <c r="A36" s="6" t="s">
        <v>573</v>
      </c>
      <c r="B36" s="6" t="s">
        <v>574</v>
      </c>
      <c r="C36" s="6" t="s">
        <v>558</v>
      </c>
      <c r="D36" s="6" t="s">
        <v>258</v>
      </c>
      <c r="E36" s="6" t="s">
        <v>408</v>
      </c>
      <c r="F36" s="6" t="s">
        <v>551</v>
      </c>
      <c r="G36" s="6" t="s">
        <v>575</v>
      </c>
      <c r="H36" s="6" t="s">
        <v>298</v>
      </c>
      <c r="I36" s="6" t="s">
        <v>572</v>
      </c>
      <c r="J36" s="6" t="s">
        <v>216</v>
      </c>
    </row>
    <row r="37">
      <c r="A37" s="11" t="s">
        <v>576</v>
      </c>
      <c r="B37" s="11" t="s">
        <v>577</v>
      </c>
      <c r="C37" s="11" t="s">
        <v>558</v>
      </c>
      <c r="D37" s="11" t="s">
        <v>389</v>
      </c>
      <c r="E37" s="11" t="s">
        <v>372</v>
      </c>
      <c r="F37" s="11" t="s">
        <v>554</v>
      </c>
      <c r="G37" s="11" t="s">
        <v>578</v>
      </c>
      <c r="H37" s="11" t="s">
        <v>215</v>
      </c>
      <c r="I37" s="11" t="s">
        <v>579</v>
      </c>
      <c r="J37" s="11" t="s">
        <v>216</v>
      </c>
    </row>
    <row r="38">
      <c r="A38" s="6" t="s">
        <v>580</v>
      </c>
      <c r="B38" s="6" t="s">
        <v>581</v>
      </c>
      <c r="C38" s="6" t="s">
        <v>558</v>
      </c>
      <c r="D38" s="6" t="s">
        <v>433</v>
      </c>
      <c r="E38" s="6" t="s">
        <v>329</v>
      </c>
      <c r="F38" s="6" t="s">
        <v>554</v>
      </c>
      <c r="G38" s="6" t="s">
        <v>464</v>
      </c>
      <c r="H38" s="6" t="s">
        <v>215</v>
      </c>
      <c r="I38" s="6" t="s">
        <v>182</v>
      </c>
      <c r="J38" s="6" t="s">
        <v>216</v>
      </c>
    </row>
    <row r="39">
      <c r="A39" s="11" t="s">
        <v>582</v>
      </c>
      <c r="B39" s="11" t="s">
        <v>583</v>
      </c>
      <c r="C39" s="11" t="s">
        <v>558</v>
      </c>
      <c r="D39" s="11" t="s">
        <v>371</v>
      </c>
      <c r="E39" s="11" t="s">
        <v>372</v>
      </c>
      <c r="F39" s="11" t="s">
        <v>554</v>
      </c>
      <c r="G39" s="11" t="s">
        <v>584</v>
      </c>
      <c r="H39" s="11" t="s">
        <v>215</v>
      </c>
      <c r="I39" s="11" t="s">
        <v>182</v>
      </c>
      <c r="J39" s="11" t="s">
        <v>216</v>
      </c>
    </row>
    <row r="40">
      <c r="A40" s="6" t="s">
        <v>585</v>
      </c>
      <c r="B40" s="6" t="s">
        <v>586</v>
      </c>
      <c r="C40" s="6" t="s">
        <v>587</v>
      </c>
      <c r="D40" s="6" t="s">
        <v>371</v>
      </c>
      <c r="E40" s="6" t="s">
        <v>372</v>
      </c>
      <c r="F40" s="6" t="s">
        <v>476</v>
      </c>
      <c r="G40" s="6" t="s">
        <v>588</v>
      </c>
      <c r="H40" s="6" t="s">
        <v>298</v>
      </c>
      <c r="I40" s="6" t="s">
        <v>589</v>
      </c>
      <c r="J40" s="6" t="s">
        <v>216</v>
      </c>
    </row>
    <row r="41">
      <c r="A41" s="11" t="s">
        <v>590</v>
      </c>
      <c r="B41" s="11" t="s">
        <v>591</v>
      </c>
      <c r="C41" s="11" t="s">
        <v>587</v>
      </c>
      <c r="D41" s="11" t="s">
        <v>258</v>
      </c>
      <c r="E41" s="11" t="s">
        <v>408</v>
      </c>
      <c r="F41" s="11" t="s">
        <v>476</v>
      </c>
      <c r="G41" s="11" t="s">
        <v>592</v>
      </c>
      <c r="H41" s="11" t="s">
        <v>298</v>
      </c>
      <c r="I41" s="11" t="s">
        <v>589</v>
      </c>
      <c r="J41" s="11" t="s">
        <v>216</v>
      </c>
    </row>
    <row r="42">
      <c r="A42" s="6" t="s">
        <v>593</v>
      </c>
      <c r="B42" s="6" t="s">
        <v>594</v>
      </c>
      <c r="C42" s="6" t="s">
        <v>587</v>
      </c>
      <c r="D42" s="6" t="s">
        <v>371</v>
      </c>
      <c r="E42" s="6" t="s">
        <v>372</v>
      </c>
      <c r="F42" s="6" t="s">
        <v>476</v>
      </c>
      <c r="G42" s="6" t="s">
        <v>595</v>
      </c>
      <c r="H42" s="6" t="s">
        <v>398</v>
      </c>
      <c r="I42" s="6" t="s">
        <v>596</v>
      </c>
      <c r="J42" s="6" t="s">
        <v>216</v>
      </c>
    </row>
    <row r="43">
      <c r="A43" s="11" t="s">
        <v>597</v>
      </c>
      <c r="B43" s="11" t="s">
        <v>598</v>
      </c>
      <c r="C43" s="11" t="s">
        <v>587</v>
      </c>
      <c r="D43" s="11" t="s">
        <v>433</v>
      </c>
      <c r="E43" s="11" t="s">
        <v>329</v>
      </c>
      <c r="F43" s="11" t="s">
        <v>476</v>
      </c>
      <c r="G43" s="11" t="s">
        <v>599</v>
      </c>
      <c r="H43" s="11" t="s">
        <v>398</v>
      </c>
      <c r="I43" s="11" t="s">
        <v>589</v>
      </c>
      <c r="J43" s="11" t="s">
        <v>216</v>
      </c>
    </row>
    <row r="44">
      <c r="A44" s="6" t="s">
        <v>600</v>
      </c>
      <c r="B44" s="6" t="s">
        <v>601</v>
      </c>
      <c r="C44" s="6" t="s">
        <v>587</v>
      </c>
      <c r="D44" s="6" t="s">
        <v>371</v>
      </c>
      <c r="E44" s="6" t="s">
        <v>372</v>
      </c>
      <c r="F44" s="6" t="s">
        <v>476</v>
      </c>
      <c r="G44" s="6" t="s">
        <v>602</v>
      </c>
      <c r="H44" s="6" t="s">
        <v>398</v>
      </c>
      <c r="I44" s="6" t="s">
        <v>348</v>
      </c>
      <c r="J44" s="6" t="s">
        <v>216</v>
      </c>
    </row>
    <row r="45">
      <c r="A45" s="11" t="s">
        <v>603</v>
      </c>
      <c r="B45" s="11" t="s">
        <v>604</v>
      </c>
      <c r="C45" s="11" t="s">
        <v>605</v>
      </c>
      <c r="D45" s="11" t="s">
        <v>258</v>
      </c>
      <c r="E45" s="11" t="s">
        <v>408</v>
      </c>
      <c r="F45" s="11" t="s">
        <v>476</v>
      </c>
      <c r="G45" s="11" t="s">
        <v>502</v>
      </c>
      <c r="H45" s="11" t="s">
        <v>215</v>
      </c>
      <c r="I45" s="11" t="s">
        <v>606</v>
      </c>
      <c r="J45" s="11" t="s">
        <v>216</v>
      </c>
    </row>
    <row r="46">
      <c r="A46" s="6" t="s">
        <v>607</v>
      </c>
      <c r="B46" s="6" t="s">
        <v>608</v>
      </c>
      <c r="C46" s="6" t="s">
        <v>605</v>
      </c>
      <c r="D46" s="6" t="s">
        <v>371</v>
      </c>
      <c r="E46" s="6" t="s">
        <v>372</v>
      </c>
      <c r="F46" s="6" t="s">
        <v>476</v>
      </c>
      <c r="G46" s="6" t="s">
        <v>609</v>
      </c>
      <c r="H46" s="6" t="s">
        <v>215</v>
      </c>
      <c r="I46" s="6" t="s">
        <v>606</v>
      </c>
      <c r="J46" s="6" t="s">
        <v>216</v>
      </c>
    </row>
    <row r="47">
      <c r="A47" s="11" t="s">
        <v>610</v>
      </c>
      <c r="B47" s="11" t="s">
        <v>611</v>
      </c>
      <c r="C47" s="11" t="s">
        <v>605</v>
      </c>
      <c r="D47" s="11" t="s">
        <v>433</v>
      </c>
      <c r="E47" s="11" t="s">
        <v>408</v>
      </c>
      <c r="F47" s="11" t="s">
        <v>436</v>
      </c>
      <c r="G47" s="11" t="s">
        <v>612</v>
      </c>
      <c r="H47" s="11" t="s">
        <v>298</v>
      </c>
      <c r="I47" s="11" t="s">
        <v>606</v>
      </c>
      <c r="J47" s="11" t="s">
        <v>216</v>
      </c>
    </row>
    <row r="48">
      <c r="A48" s="6" t="s">
        <v>613</v>
      </c>
      <c r="B48" s="6" t="s">
        <v>614</v>
      </c>
      <c r="C48" s="6" t="s">
        <v>605</v>
      </c>
      <c r="D48" s="6" t="s">
        <v>371</v>
      </c>
      <c r="E48" s="6" t="s">
        <v>372</v>
      </c>
      <c r="F48" s="6" t="s">
        <v>476</v>
      </c>
      <c r="G48" s="6" t="s">
        <v>615</v>
      </c>
      <c r="H48" s="6" t="s">
        <v>298</v>
      </c>
      <c r="I48" s="6" t="s">
        <v>616</v>
      </c>
      <c r="J48" s="6" t="s">
        <v>216</v>
      </c>
    </row>
    <row r="49">
      <c r="A49" s="11" t="s">
        <v>617</v>
      </c>
      <c r="B49" s="11" t="s">
        <v>618</v>
      </c>
      <c r="C49" s="11" t="s">
        <v>605</v>
      </c>
      <c r="D49" s="11" t="s">
        <v>258</v>
      </c>
      <c r="E49" s="11" t="s">
        <v>408</v>
      </c>
      <c r="F49" s="11" t="s">
        <v>476</v>
      </c>
      <c r="G49" s="11" t="s">
        <v>619</v>
      </c>
      <c r="H49" s="11" t="s">
        <v>298</v>
      </c>
      <c r="I49" s="11" t="s">
        <v>200</v>
      </c>
      <c r="J49" s="11" t="s">
        <v>216</v>
      </c>
    </row>
    <row r="50">
      <c r="A50" s="6" t="s">
        <v>620</v>
      </c>
      <c r="B50" s="6" t="s">
        <v>621</v>
      </c>
      <c r="C50" s="6" t="s">
        <v>605</v>
      </c>
      <c r="D50" s="6" t="s">
        <v>371</v>
      </c>
      <c r="E50" s="6" t="s">
        <v>372</v>
      </c>
      <c r="F50" s="6" t="s">
        <v>476</v>
      </c>
      <c r="G50" s="6" t="s">
        <v>568</v>
      </c>
      <c r="H50" s="6" t="s">
        <v>398</v>
      </c>
      <c r="I50" s="6" t="s">
        <v>200</v>
      </c>
      <c r="J50" s="6" t="s">
        <v>216</v>
      </c>
    </row>
    <row r="51">
      <c r="A51" s="11" t="s">
        <v>622</v>
      </c>
      <c r="B51" s="11" t="s">
        <v>623</v>
      </c>
      <c r="C51" s="11" t="s">
        <v>605</v>
      </c>
      <c r="D51" s="11" t="s">
        <v>258</v>
      </c>
      <c r="E51" s="11" t="s">
        <v>292</v>
      </c>
      <c r="F51" s="11" t="s">
        <v>476</v>
      </c>
      <c r="G51" s="11" t="s">
        <v>575</v>
      </c>
      <c r="H51" s="11" t="s">
        <v>298</v>
      </c>
      <c r="I51" s="11" t="s">
        <v>182</v>
      </c>
      <c r="J51" s="11" t="s">
        <v>216</v>
      </c>
    </row>
    <row r="52">
      <c r="A52" s="6" t="s">
        <v>624</v>
      </c>
      <c r="B52" s="6" t="s">
        <v>625</v>
      </c>
      <c r="C52" s="6" t="s">
        <v>605</v>
      </c>
      <c r="D52" s="6" t="s">
        <v>240</v>
      </c>
      <c r="E52" s="6" t="s">
        <v>329</v>
      </c>
      <c r="F52" s="6" t="s">
        <v>246</v>
      </c>
      <c r="G52" s="6" t="s">
        <v>626</v>
      </c>
      <c r="H52" s="6" t="s">
        <v>398</v>
      </c>
      <c r="I52" s="6" t="s">
        <v>627</v>
      </c>
      <c r="J52" s="6" t="s">
        <v>216</v>
      </c>
    </row>
    <row r="53">
      <c r="A53" s="11" t="s">
        <v>628</v>
      </c>
      <c r="B53" s="11" t="s">
        <v>629</v>
      </c>
      <c r="C53" s="11" t="s">
        <v>630</v>
      </c>
      <c r="D53" s="11" t="s">
        <v>389</v>
      </c>
      <c r="E53" s="11" t="s">
        <v>372</v>
      </c>
      <c r="F53" s="11" t="s">
        <v>554</v>
      </c>
      <c r="G53" s="11" t="s">
        <v>631</v>
      </c>
      <c r="H53" s="11" t="s">
        <v>215</v>
      </c>
      <c r="I53" s="11" t="s">
        <v>589</v>
      </c>
      <c r="J53" s="11" t="s">
        <v>216</v>
      </c>
    </row>
    <row r="54">
      <c r="A54" s="6" t="s">
        <v>632</v>
      </c>
      <c r="B54" s="6" t="s">
        <v>633</v>
      </c>
      <c r="C54" s="6" t="s">
        <v>630</v>
      </c>
      <c r="D54" s="6" t="s">
        <v>433</v>
      </c>
      <c r="E54" s="6" t="s">
        <v>329</v>
      </c>
      <c r="F54" s="6" t="s">
        <v>554</v>
      </c>
      <c r="G54" s="6" t="s">
        <v>634</v>
      </c>
      <c r="H54" s="6" t="s">
        <v>298</v>
      </c>
      <c r="I54" s="6" t="s">
        <v>589</v>
      </c>
      <c r="J54" s="6" t="s">
        <v>216</v>
      </c>
    </row>
    <row r="55">
      <c r="A55" s="11" t="s">
        <v>635</v>
      </c>
      <c r="B55" s="11" t="s">
        <v>636</v>
      </c>
      <c r="C55" s="11" t="s">
        <v>630</v>
      </c>
      <c r="D55" s="11" t="s">
        <v>389</v>
      </c>
      <c r="E55" s="11" t="s">
        <v>372</v>
      </c>
      <c r="F55" s="11" t="s">
        <v>554</v>
      </c>
      <c r="G55" s="11" t="s">
        <v>637</v>
      </c>
      <c r="H55" s="11" t="s">
        <v>298</v>
      </c>
      <c r="I55" s="11" t="s">
        <v>200</v>
      </c>
      <c r="J55" s="11" t="s">
        <v>216</v>
      </c>
    </row>
    <row r="56">
      <c r="A56" s="6" t="s">
        <v>638</v>
      </c>
      <c r="B56" s="6" t="s">
        <v>639</v>
      </c>
      <c r="C56" s="6" t="s">
        <v>630</v>
      </c>
      <c r="D56" s="6" t="s">
        <v>371</v>
      </c>
      <c r="E56" s="6" t="s">
        <v>372</v>
      </c>
      <c r="F56" s="6" t="s">
        <v>554</v>
      </c>
      <c r="G56" s="6" t="s">
        <v>640</v>
      </c>
      <c r="H56" s="6" t="s">
        <v>398</v>
      </c>
      <c r="I56" s="6" t="s">
        <v>182</v>
      </c>
      <c r="J56" s="6" t="s">
        <v>216</v>
      </c>
    </row>
    <row r="57">
      <c r="A57" s="11" t="s">
        <v>641</v>
      </c>
      <c r="B57" s="11" t="s">
        <v>642</v>
      </c>
      <c r="C57" s="11" t="s">
        <v>630</v>
      </c>
      <c r="D57" s="11" t="s">
        <v>371</v>
      </c>
      <c r="E57" s="11" t="s">
        <v>372</v>
      </c>
      <c r="F57" s="11" t="s">
        <v>476</v>
      </c>
      <c r="G57" s="11" t="s">
        <v>643</v>
      </c>
      <c r="H57" s="11" t="s">
        <v>398</v>
      </c>
      <c r="I57" s="11" t="s">
        <v>200</v>
      </c>
      <c r="J57" s="11" t="s">
        <v>216</v>
      </c>
    </row>
    <row r="58">
      <c r="A58" s="6" t="s">
        <v>644</v>
      </c>
      <c r="B58" s="6" t="s">
        <v>645</v>
      </c>
      <c r="C58" s="6" t="s">
        <v>630</v>
      </c>
      <c r="D58" s="6" t="s">
        <v>433</v>
      </c>
      <c r="E58" s="6" t="s">
        <v>329</v>
      </c>
      <c r="F58" s="6" t="s">
        <v>554</v>
      </c>
      <c r="G58" s="6" t="s">
        <v>646</v>
      </c>
      <c r="H58" s="6" t="s">
        <v>398</v>
      </c>
      <c r="I58" s="6" t="s">
        <v>606</v>
      </c>
      <c r="J58" s="6" t="s">
        <v>216</v>
      </c>
    </row>
    <row r="59">
      <c r="A59" s="11" t="s">
        <v>647</v>
      </c>
      <c r="B59" s="11" t="s">
        <v>648</v>
      </c>
      <c r="C59" s="11" t="s">
        <v>649</v>
      </c>
      <c r="D59" s="11" t="s">
        <v>433</v>
      </c>
      <c r="E59" s="11" t="s">
        <v>650</v>
      </c>
      <c r="F59" s="11" t="s">
        <v>246</v>
      </c>
      <c r="G59" s="11" t="s">
        <v>651</v>
      </c>
      <c r="H59" s="11" t="s">
        <v>298</v>
      </c>
      <c r="I59" s="11" t="s">
        <v>182</v>
      </c>
      <c r="J59" s="11" t="s">
        <v>216</v>
      </c>
    </row>
    <row r="60">
      <c r="A60" s="6" t="s">
        <v>652</v>
      </c>
      <c r="B60" s="6" t="s">
        <v>653</v>
      </c>
      <c r="C60" s="6" t="s">
        <v>649</v>
      </c>
      <c r="D60" s="6" t="s">
        <v>433</v>
      </c>
      <c r="E60" s="6" t="s">
        <v>650</v>
      </c>
      <c r="F60" s="6" t="s">
        <v>436</v>
      </c>
      <c r="G60" s="6" t="s">
        <v>654</v>
      </c>
      <c r="H60" s="6" t="s">
        <v>215</v>
      </c>
      <c r="I60" s="6" t="s">
        <v>189</v>
      </c>
      <c r="J60" s="6" t="s">
        <v>216</v>
      </c>
    </row>
    <row r="61">
      <c r="A61" s="11" t="s">
        <v>655</v>
      </c>
      <c r="B61" s="11" t="s">
        <v>656</v>
      </c>
      <c r="C61" s="11" t="s">
        <v>649</v>
      </c>
      <c r="D61" s="11" t="s">
        <v>240</v>
      </c>
      <c r="E61" s="11" t="s">
        <v>292</v>
      </c>
      <c r="F61" s="11" t="s">
        <v>554</v>
      </c>
      <c r="G61" s="11" t="s">
        <v>657</v>
      </c>
      <c r="H61" s="11" t="s">
        <v>215</v>
      </c>
      <c r="I61" s="11" t="s">
        <v>189</v>
      </c>
      <c r="J61" s="11" t="s">
        <v>216</v>
      </c>
    </row>
    <row r="62">
      <c r="A62" s="6" t="s">
        <v>658</v>
      </c>
      <c r="B62" s="6" t="s">
        <v>659</v>
      </c>
      <c r="C62" s="6" t="s">
        <v>649</v>
      </c>
      <c r="D62" s="6" t="s">
        <v>389</v>
      </c>
      <c r="E62" s="6" t="s">
        <v>650</v>
      </c>
      <c r="F62" s="6" t="s">
        <v>246</v>
      </c>
      <c r="G62" s="6" t="s">
        <v>660</v>
      </c>
      <c r="H62" s="6" t="s">
        <v>298</v>
      </c>
      <c r="I62" s="6" t="s">
        <v>182</v>
      </c>
      <c r="J62" s="6" t="s">
        <v>216</v>
      </c>
    </row>
    <row r="63">
      <c r="A63" s="11" t="s">
        <v>661</v>
      </c>
      <c r="B63" s="11" t="s">
        <v>662</v>
      </c>
      <c r="C63" s="11" t="s">
        <v>649</v>
      </c>
      <c r="D63" s="11" t="s">
        <v>258</v>
      </c>
      <c r="E63" s="11" t="s">
        <v>329</v>
      </c>
      <c r="F63" s="11" t="s">
        <v>554</v>
      </c>
      <c r="G63" s="11" t="s">
        <v>543</v>
      </c>
      <c r="H63" s="11" t="s">
        <v>298</v>
      </c>
      <c r="I63" s="11" t="s">
        <v>663</v>
      </c>
      <c r="J63" s="11" t="s">
        <v>216</v>
      </c>
    </row>
    <row r="64">
      <c r="A64" s="6" t="s">
        <v>664</v>
      </c>
      <c r="B64" s="6" t="s">
        <v>665</v>
      </c>
      <c r="C64" s="6" t="s">
        <v>649</v>
      </c>
      <c r="D64" s="6" t="s">
        <v>240</v>
      </c>
      <c r="E64" s="6" t="s">
        <v>650</v>
      </c>
      <c r="F64" s="6" t="s">
        <v>246</v>
      </c>
      <c r="G64" s="6" t="s">
        <v>334</v>
      </c>
      <c r="H64" s="6" t="s">
        <v>298</v>
      </c>
      <c r="I64" s="6" t="s">
        <v>182</v>
      </c>
      <c r="J64" s="6" t="s">
        <v>216</v>
      </c>
    </row>
    <row r="65"/>
    <row r="66">
      <c r="A66" s="13" t="s">
        <v>666</v>
      </c>
    </row>
    <row r="67">
      <c r="A67" s="14" t="s">
        <v>215</v>
      </c>
      <c r="C67" s="15">
        <f>COUNTIF(H2:H64,"P0")</f>
        <v>22</v>
      </c>
    </row>
    <row r="68">
      <c r="A68" s="14" t="s">
        <v>298</v>
      </c>
      <c r="C68" s="15">
        <f>COUNTIF(H2:H64,"P1")</f>
        <v>28</v>
      </c>
    </row>
    <row r="69">
      <c r="A69" s="14" t="s">
        <v>398</v>
      </c>
      <c r="C69" s="15">
        <f>COUNTIF(H2:H64,"P2")</f>
        <v>13</v>
      </c>
    </row>
    <row r="70">
      <c r="A70" s="14" t="s">
        <v>667</v>
      </c>
      <c r="C70" s="14">
        <f>COUNTA(A2:A64)</f>
        <v>63</v>
      </c>
    </row>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31.5"/>
    <col customWidth="1" min="3" max="3" width="28.0"/>
    <col customWidth="1" min="4" max="4" width="10.5"/>
    <col customWidth="1" min="5" max="5" width="28.0"/>
    <col customWidth="1" min="6" max="6" width="22.75"/>
    <col customWidth="1" min="7" max="7" width="8.75"/>
    <col customWidth="1" min="8" max="8" width="10.5"/>
    <col customWidth="1" min="9" max="26" width="7.63"/>
  </cols>
  <sheetData>
    <row r="1" ht="33.75" customHeight="1">
      <c r="A1" s="3" t="s">
        <v>169</v>
      </c>
      <c r="B1" s="3" t="s">
        <v>188</v>
      </c>
      <c r="C1" s="3" t="s">
        <v>190</v>
      </c>
      <c r="D1" s="3" t="s">
        <v>191</v>
      </c>
      <c r="E1" s="3" t="s">
        <v>194</v>
      </c>
      <c r="F1" s="3" t="s">
        <v>197</v>
      </c>
      <c r="G1" s="3" t="s">
        <v>199</v>
      </c>
      <c r="H1" s="3" t="s">
        <v>201</v>
      </c>
    </row>
    <row r="2">
      <c r="A2" s="6" t="s">
        <v>204</v>
      </c>
      <c r="B2" s="6" t="s">
        <v>8</v>
      </c>
      <c r="C2" s="6" t="s">
        <v>208</v>
      </c>
      <c r="D2" s="6" t="s">
        <v>210</v>
      </c>
      <c r="E2" s="6" t="s">
        <v>211</v>
      </c>
      <c r="F2" s="6" t="s">
        <v>213</v>
      </c>
      <c r="G2" s="6" t="s">
        <v>215</v>
      </c>
      <c r="H2" s="6" t="s">
        <v>216</v>
      </c>
    </row>
    <row r="3">
      <c r="A3" s="11" t="s">
        <v>221</v>
      </c>
      <c r="B3" s="11" t="s">
        <v>223</v>
      </c>
      <c r="C3" s="11" t="s">
        <v>224</v>
      </c>
      <c r="D3" s="11" t="s">
        <v>225</v>
      </c>
      <c r="E3" s="11" t="s">
        <v>226</v>
      </c>
      <c r="F3" s="11" t="s">
        <v>228</v>
      </c>
      <c r="G3" s="11" t="s">
        <v>215</v>
      </c>
      <c r="H3" s="11" t="s">
        <v>216</v>
      </c>
    </row>
    <row r="4">
      <c r="A4" s="6" t="s">
        <v>239</v>
      </c>
      <c r="B4" s="6" t="s">
        <v>242</v>
      </c>
      <c r="C4" s="6" t="s">
        <v>245</v>
      </c>
      <c r="D4" s="6" t="s">
        <v>247</v>
      </c>
      <c r="E4" s="6" t="s">
        <v>249</v>
      </c>
      <c r="F4" s="6" t="s">
        <v>228</v>
      </c>
      <c r="G4" s="6" t="s">
        <v>215</v>
      </c>
      <c r="H4" s="6" t="s">
        <v>216</v>
      </c>
    </row>
    <row r="5">
      <c r="A5" s="11" t="s">
        <v>259</v>
      </c>
      <c r="B5" s="11" t="s">
        <v>261</v>
      </c>
      <c r="C5" s="11" t="s">
        <v>263</v>
      </c>
      <c r="D5" s="11" t="s">
        <v>265</v>
      </c>
      <c r="E5" s="11" t="s">
        <v>267</v>
      </c>
      <c r="F5" s="11" t="s">
        <v>228</v>
      </c>
      <c r="G5" s="11" t="s">
        <v>215</v>
      </c>
      <c r="H5" s="11" t="s">
        <v>216</v>
      </c>
    </row>
    <row r="6">
      <c r="A6" s="6" t="s">
        <v>275</v>
      </c>
      <c r="B6" s="6" t="s">
        <v>277</v>
      </c>
      <c r="C6" s="6" t="s">
        <v>279</v>
      </c>
      <c r="D6" s="6" t="s">
        <v>247</v>
      </c>
      <c r="E6" s="6" t="s">
        <v>281</v>
      </c>
      <c r="F6" s="6" t="s">
        <v>228</v>
      </c>
      <c r="G6" s="6" t="s">
        <v>215</v>
      </c>
      <c r="H6" s="6" t="s">
        <v>216</v>
      </c>
    </row>
    <row r="7">
      <c r="A7" s="11" t="s">
        <v>285</v>
      </c>
      <c r="B7" s="11" t="s">
        <v>289</v>
      </c>
      <c r="C7" s="11" t="s">
        <v>291</v>
      </c>
      <c r="D7" s="11" t="s">
        <v>265</v>
      </c>
      <c r="E7" s="11" t="s">
        <v>295</v>
      </c>
      <c r="F7" s="11" t="s">
        <v>228</v>
      </c>
      <c r="G7" s="11" t="s">
        <v>298</v>
      </c>
      <c r="H7" s="11" t="s">
        <v>216</v>
      </c>
    </row>
    <row r="8">
      <c r="A8" s="6" t="s">
        <v>302</v>
      </c>
      <c r="B8" s="6" t="s">
        <v>306</v>
      </c>
      <c r="C8" s="6" t="s">
        <v>309</v>
      </c>
      <c r="D8" s="6" t="s">
        <v>265</v>
      </c>
      <c r="E8" s="6" t="s">
        <v>312</v>
      </c>
      <c r="F8" s="6" t="s">
        <v>228</v>
      </c>
      <c r="G8" s="6" t="s">
        <v>298</v>
      </c>
      <c r="H8" s="6" t="s">
        <v>216</v>
      </c>
    </row>
    <row r="9">
      <c r="A9" s="11" t="s">
        <v>323</v>
      </c>
      <c r="B9" s="11" t="s">
        <v>324</v>
      </c>
      <c r="C9" s="11" t="s">
        <v>326</v>
      </c>
      <c r="D9" s="11" t="s">
        <v>327</v>
      </c>
      <c r="E9" s="11" t="s">
        <v>328</v>
      </c>
      <c r="F9" s="11" t="s">
        <v>228</v>
      </c>
      <c r="G9" s="11" t="s">
        <v>298</v>
      </c>
      <c r="H9" s="11" t="s">
        <v>216</v>
      </c>
    </row>
    <row r="10">
      <c r="A10" s="6" t="s">
        <v>337</v>
      </c>
      <c r="B10" s="6" t="s">
        <v>339</v>
      </c>
      <c r="C10" s="6" t="s">
        <v>342</v>
      </c>
      <c r="D10" s="6" t="s">
        <v>327</v>
      </c>
      <c r="E10" s="6" t="s">
        <v>344</v>
      </c>
      <c r="F10" s="6" t="s">
        <v>228</v>
      </c>
      <c r="G10" s="6" t="s">
        <v>215</v>
      </c>
      <c r="H10" s="6" t="s">
        <v>216</v>
      </c>
    </row>
    <row r="11">
      <c r="A11" s="11" t="s">
        <v>349</v>
      </c>
      <c r="B11" s="11" t="s">
        <v>351</v>
      </c>
      <c r="C11" s="11" t="s">
        <v>353</v>
      </c>
      <c r="D11" s="11" t="s">
        <v>265</v>
      </c>
      <c r="E11" s="11" t="s">
        <v>358</v>
      </c>
      <c r="F11" s="11" t="s">
        <v>228</v>
      </c>
      <c r="G11" s="11" t="s">
        <v>298</v>
      </c>
      <c r="H11" s="11" t="s">
        <v>216</v>
      </c>
    </row>
    <row r="12">
      <c r="A12" s="6" t="s">
        <v>363</v>
      </c>
      <c r="B12" s="6" t="s">
        <v>366</v>
      </c>
      <c r="C12" s="6" t="s">
        <v>368</v>
      </c>
      <c r="D12" s="6" t="s">
        <v>265</v>
      </c>
      <c r="E12" s="6" t="s">
        <v>373</v>
      </c>
      <c r="F12" s="6" t="s">
        <v>228</v>
      </c>
      <c r="G12" s="6" t="s">
        <v>298</v>
      </c>
      <c r="H12" s="6" t="s">
        <v>216</v>
      </c>
    </row>
    <row r="13">
      <c r="A13" s="11" t="s">
        <v>390</v>
      </c>
      <c r="B13" s="11" t="s">
        <v>393</v>
      </c>
      <c r="C13" s="11" t="s">
        <v>394</v>
      </c>
      <c r="D13" s="11" t="s">
        <v>397</v>
      </c>
      <c r="E13" s="11" t="s">
        <v>399</v>
      </c>
      <c r="F13" s="11" t="s">
        <v>228</v>
      </c>
      <c r="G13" s="11" t="s">
        <v>215</v>
      </c>
      <c r="H13" s="11" t="s">
        <v>216</v>
      </c>
    </row>
    <row r="14">
      <c r="A14" s="6" t="s">
        <v>403</v>
      </c>
      <c r="B14" s="6" t="s">
        <v>405</v>
      </c>
      <c r="C14" s="6" t="s">
        <v>406</v>
      </c>
      <c r="D14" s="6" t="s">
        <v>407</v>
      </c>
      <c r="E14" s="6" t="s">
        <v>409</v>
      </c>
      <c r="F14" s="6" t="s">
        <v>228</v>
      </c>
      <c r="G14" s="6" t="s">
        <v>298</v>
      </c>
      <c r="H14" s="6" t="s">
        <v>216</v>
      </c>
    </row>
    <row r="15">
      <c r="A15" s="11" t="s">
        <v>413</v>
      </c>
      <c r="B15" s="11" t="s">
        <v>414</v>
      </c>
      <c r="C15" s="11" t="s">
        <v>416</v>
      </c>
      <c r="D15" s="11" t="s">
        <v>327</v>
      </c>
      <c r="E15" s="11" t="s">
        <v>418</v>
      </c>
      <c r="F15" s="11" t="s">
        <v>228</v>
      </c>
      <c r="G15" s="11" t="s">
        <v>298</v>
      </c>
      <c r="H15" s="11" t="s">
        <v>216</v>
      </c>
    </row>
    <row r="16">
      <c r="A16" s="6" t="s">
        <v>422</v>
      </c>
      <c r="B16" s="6" t="s">
        <v>424</v>
      </c>
      <c r="C16" s="6" t="s">
        <v>426</v>
      </c>
      <c r="D16" s="6" t="s">
        <v>428</v>
      </c>
      <c r="E16" s="6" t="s">
        <v>429</v>
      </c>
      <c r="F16" s="6" t="s">
        <v>228</v>
      </c>
      <c r="G16" s="6" t="s">
        <v>298</v>
      </c>
      <c r="H16" s="6" t="s">
        <v>216</v>
      </c>
    </row>
    <row r="17">
      <c r="A17" s="11" t="s">
        <v>434</v>
      </c>
      <c r="B17" s="11" t="s">
        <v>437</v>
      </c>
      <c r="C17" s="11" t="s">
        <v>439</v>
      </c>
      <c r="D17" s="11" t="s">
        <v>407</v>
      </c>
      <c r="E17" s="11" t="s">
        <v>211</v>
      </c>
      <c r="F17" s="11" t="s">
        <v>5</v>
      </c>
      <c r="G17" s="11" t="s">
        <v>215</v>
      </c>
      <c r="H17" s="11" t="s">
        <v>216</v>
      </c>
    </row>
    <row r="18">
      <c r="A18" s="6" t="s">
        <v>446</v>
      </c>
      <c r="B18" s="6" t="s">
        <v>449</v>
      </c>
      <c r="C18" s="6" t="s">
        <v>451</v>
      </c>
      <c r="D18" s="6" t="s">
        <v>247</v>
      </c>
      <c r="E18" s="6" t="s">
        <v>453</v>
      </c>
      <c r="F18" s="6" t="s">
        <v>228</v>
      </c>
      <c r="G18" s="6" t="s">
        <v>298</v>
      </c>
      <c r="H18" s="6" t="s">
        <v>216</v>
      </c>
    </row>
    <row r="19">
      <c r="A19" s="11" t="s">
        <v>456</v>
      </c>
      <c r="B19" s="11" t="s">
        <v>458</v>
      </c>
      <c r="C19" s="11" t="s">
        <v>460</v>
      </c>
      <c r="D19" s="11" t="s">
        <v>428</v>
      </c>
      <c r="E19" s="11" t="s">
        <v>461</v>
      </c>
      <c r="F19" s="11" t="s">
        <v>5</v>
      </c>
      <c r="G19" s="11" t="s">
        <v>298</v>
      </c>
      <c r="H19" s="11" t="s">
        <v>216</v>
      </c>
    </row>
    <row r="20">
      <c r="A20" s="6" t="s">
        <v>466</v>
      </c>
      <c r="B20" s="6" t="s">
        <v>468</v>
      </c>
      <c r="C20" s="6" t="s">
        <v>469</v>
      </c>
      <c r="D20" s="6" t="s">
        <v>428</v>
      </c>
      <c r="E20" s="6" t="s">
        <v>471</v>
      </c>
      <c r="F20" s="6" t="s">
        <v>228</v>
      </c>
      <c r="G20" s="6" t="s">
        <v>398</v>
      </c>
      <c r="H20" s="6" t="s">
        <v>216</v>
      </c>
    </row>
    <row r="21">
      <c r="A21" s="11" t="s">
        <v>477</v>
      </c>
      <c r="B21" s="11" t="s">
        <v>479</v>
      </c>
      <c r="C21" s="11" t="s">
        <v>480</v>
      </c>
      <c r="D21" s="11" t="s">
        <v>481</v>
      </c>
      <c r="E21" s="11" t="s">
        <v>482</v>
      </c>
      <c r="F21" s="11" t="s">
        <v>6</v>
      </c>
      <c r="G21" s="11" t="s">
        <v>215</v>
      </c>
      <c r="H21" s="11" t="s">
        <v>216</v>
      </c>
    </row>
    <row r="22">
      <c r="A22" s="6" t="s">
        <v>486</v>
      </c>
      <c r="B22" s="6" t="s">
        <v>487</v>
      </c>
      <c r="C22" s="6" t="s">
        <v>488</v>
      </c>
      <c r="D22" s="6" t="s">
        <v>428</v>
      </c>
      <c r="E22" s="6" t="s">
        <v>490</v>
      </c>
      <c r="F22" s="6" t="s">
        <v>228</v>
      </c>
      <c r="G22" s="6" t="s">
        <v>398</v>
      </c>
      <c r="H22" s="6" t="s">
        <v>216</v>
      </c>
    </row>
    <row r="23">
      <c r="A23" s="11" t="s">
        <v>495</v>
      </c>
      <c r="B23" s="11" t="s">
        <v>497</v>
      </c>
      <c r="C23" s="11" t="s">
        <v>498</v>
      </c>
      <c r="D23" s="11" t="s">
        <v>265</v>
      </c>
      <c r="E23" s="11" t="s">
        <v>499</v>
      </c>
      <c r="F23" s="11" t="s">
        <v>228</v>
      </c>
      <c r="G23" s="11" t="s">
        <v>398</v>
      </c>
      <c r="H23" s="11" t="s">
        <v>216</v>
      </c>
    </row>
    <row r="24">
      <c r="A24" s="6" t="s">
        <v>506</v>
      </c>
      <c r="B24" s="6" t="s">
        <v>507</v>
      </c>
      <c r="C24" s="6" t="s">
        <v>509</v>
      </c>
      <c r="D24" s="6" t="s">
        <v>428</v>
      </c>
      <c r="E24" s="6" t="s">
        <v>511</v>
      </c>
      <c r="F24" s="6" t="s">
        <v>228</v>
      </c>
      <c r="G24" s="6" t="s">
        <v>298</v>
      </c>
      <c r="H24" s="6" t="s">
        <v>216</v>
      </c>
    </row>
    <row r="25">
      <c r="A25" s="11" t="s">
        <v>512</v>
      </c>
      <c r="B25" s="11" t="s">
        <v>514</v>
      </c>
      <c r="C25" s="11" t="s">
        <v>515</v>
      </c>
      <c r="D25" s="11" t="s">
        <v>428</v>
      </c>
      <c r="E25" s="11" t="s">
        <v>516</v>
      </c>
      <c r="F25" s="11" t="s">
        <v>228</v>
      </c>
      <c r="G25" s="11" t="s">
        <v>398</v>
      </c>
      <c r="H25" s="11" t="s">
        <v>216</v>
      </c>
    </row>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4.5"/>
    <col customWidth="1" min="3" max="3" width="43.75"/>
    <col customWidth="1" min="4" max="5" width="22.75"/>
    <col customWidth="1" min="6" max="6" width="8.75"/>
    <col customWidth="1" min="7" max="7" width="10.5"/>
    <col customWidth="1" min="8" max="26" width="7.63"/>
  </cols>
  <sheetData>
    <row r="1" ht="33.75" customHeight="1">
      <c r="A1" s="3" t="s">
        <v>169</v>
      </c>
      <c r="B1" s="3" t="s">
        <v>212</v>
      </c>
      <c r="C1" s="3" t="s">
        <v>214</v>
      </c>
      <c r="D1" s="3" t="s">
        <v>217</v>
      </c>
      <c r="E1" s="3" t="s">
        <v>219</v>
      </c>
      <c r="F1" s="3" t="s">
        <v>199</v>
      </c>
      <c r="G1" s="3" t="s">
        <v>201</v>
      </c>
    </row>
    <row r="2">
      <c r="A2" s="6" t="s">
        <v>233</v>
      </c>
      <c r="B2" s="6" t="s">
        <v>236</v>
      </c>
      <c r="C2" s="6" t="s">
        <v>238</v>
      </c>
      <c r="D2" s="6" t="s">
        <v>241</v>
      </c>
      <c r="E2" s="6" t="s">
        <v>244</v>
      </c>
      <c r="F2" s="6" t="s">
        <v>215</v>
      </c>
      <c r="G2" s="6" t="s">
        <v>250</v>
      </c>
    </row>
    <row r="3">
      <c r="A3" s="11" t="s">
        <v>252</v>
      </c>
      <c r="B3" s="11" t="s">
        <v>254</v>
      </c>
      <c r="C3" s="11" t="s">
        <v>255</v>
      </c>
      <c r="D3" s="11" t="s">
        <v>256</v>
      </c>
      <c r="E3" s="11" t="s">
        <v>257</v>
      </c>
      <c r="F3" s="11" t="s">
        <v>215</v>
      </c>
      <c r="G3" s="11" t="s">
        <v>264</v>
      </c>
    </row>
    <row r="4">
      <c r="A4" s="6" t="s">
        <v>269</v>
      </c>
      <c r="B4" s="6" t="s">
        <v>271</v>
      </c>
      <c r="C4" s="6" t="s">
        <v>274</v>
      </c>
      <c r="D4" s="6" t="s">
        <v>283</v>
      </c>
      <c r="E4" s="6" t="s">
        <v>287</v>
      </c>
      <c r="F4" s="6" t="s">
        <v>215</v>
      </c>
      <c r="G4" s="6" t="s">
        <v>290</v>
      </c>
    </row>
    <row r="5">
      <c r="A5" s="11" t="s">
        <v>305</v>
      </c>
      <c r="B5" s="11" t="s">
        <v>308</v>
      </c>
      <c r="C5" s="11" t="s">
        <v>310</v>
      </c>
      <c r="D5" s="11" t="s">
        <v>311</v>
      </c>
      <c r="E5" s="11" t="s">
        <v>313</v>
      </c>
      <c r="F5" s="11" t="s">
        <v>298</v>
      </c>
      <c r="G5" s="11" t="s">
        <v>264</v>
      </c>
    </row>
    <row r="6">
      <c r="A6" s="6" t="s">
        <v>316</v>
      </c>
      <c r="B6" s="6" t="s">
        <v>317</v>
      </c>
      <c r="C6" s="6" t="s">
        <v>319</v>
      </c>
      <c r="D6" s="6" t="s">
        <v>283</v>
      </c>
      <c r="E6" s="6" t="s">
        <v>325</v>
      </c>
      <c r="F6" s="6" t="s">
        <v>215</v>
      </c>
      <c r="G6" s="6" t="s">
        <v>290</v>
      </c>
    </row>
    <row r="7">
      <c r="A7" s="11" t="s">
        <v>330</v>
      </c>
      <c r="B7" s="11" t="s">
        <v>331</v>
      </c>
      <c r="C7" s="11" t="s">
        <v>332</v>
      </c>
      <c r="D7" s="11" t="s">
        <v>256</v>
      </c>
      <c r="E7" s="11" t="s">
        <v>362</v>
      </c>
      <c r="F7" s="11" t="s">
        <v>298</v>
      </c>
      <c r="G7" s="11" t="s">
        <v>264</v>
      </c>
    </row>
    <row r="8">
      <c r="A8" s="6" t="s">
        <v>374</v>
      </c>
      <c r="B8" s="6" t="s">
        <v>377</v>
      </c>
      <c r="C8" s="6" t="s">
        <v>379</v>
      </c>
      <c r="D8" s="6" t="s">
        <v>283</v>
      </c>
      <c r="E8" s="6" t="s">
        <v>382</v>
      </c>
      <c r="F8" s="6" t="s">
        <v>215</v>
      </c>
      <c r="G8" s="6" t="s">
        <v>290</v>
      </c>
    </row>
    <row r="9">
      <c r="A9" s="11" t="s">
        <v>387</v>
      </c>
      <c r="B9" s="11" t="s">
        <v>388</v>
      </c>
      <c r="C9" s="11" t="s">
        <v>391</v>
      </c>
      <c r="D9" s="11" t="s">
        <v>283</v>
      </c>
      <c r="E9" s="11" t="s">
        <v>395</v>
      </c>
      <c r="F9" s="11" t="s">
        <v>298</v>
      </c>
      <c r="G9" s="11" t="s">
        <v>290</v>
      </c>
    </row>
    <row r="10">
      <c r="A10" s="6" t="s">
        <v>400</v>
      </c>
      <c r="B10" s="6" t="s">
        <v>276</v>
      </c>
      <c r="C10" s="6" t="s">
        <v>402</v>
      </c>
      <c r="D10" s="6" t="s">
        <v>283</v>
      </c>
      <c r="E10" s="6" t="s">
        <v>287</v>
      </c>
      <c r="F10" s="6" t="s">
        <v>215</v>
      </c>
      <c r="G10" s="6" t="s">
        <v>290</v>
      </c>
    </row>
    <row r="11">
      <c r="A11" s="11" t="s">
        <v>411</v>
      </c>
      <c r="B11" s="11" t="s">
        <v>294</v>
      </c>
      <c r="C11" s="11" t="s">
        <v>412</v>
      </c>
      <c r="D11" s="11" t="s">
        <v>283</v>
      </c>
      <c r="E11" s="11" t="s">
        <v>415</v>
      </c>
      <c r="F11" s="11" t="s">
        <v>298</v>
      </c>
      <c r="G11" s="11" t="s">
        <v>290</v>
      </c>
    </row>
    <row r="12">
      <c r="A12" s="6" t="s">
        <v>419</v>
      </c>
      <c r="B12" s="6" t="s">
        <v>420</v>
      </c>
      <c r="C12" s="6" t="s">
        <v>423</v>
      </c>
      <c r="D12" s="6" t="s">
        <v>425</v>
      </c>
      <c r="E12" s="6" t="s">
        <v>427</v>
      </c>
      <c r="F12" s="6" t="s">
        <v>215</v>
      </c>
      <c r="G12" s="6" t="s">
        <v>264</v>
      </c>
    </row>
    <row r="13">
      <c r="A13" s="11" t="s">
        <v>432</v>
      </c>
      <c r="B13" s="11" t="s">
        <v>338</v>
      </c>
      <c r="C13" s="11" t="s">
        <v>435</v>
      </c>
      <c r="D13" s="11" t="s">
        <v>256</v>
      </c>
      <c r="E13" s="11" t="s">
        <v>362</v>
      </c>
      <c r="F13" s="11" t="s">
        <v>298</v>
      </c>
      <c r="G13" s="11" t="s">
        <v>264</v>
      </c>
    </row>
    <row r="14">
      <c r="A14" s="6" t="s">
        <v>440</v>
      </c>
      <c r="B14" s="6" t="s">
        <v>442</v>
      </c>
      <c r="C14" s="6" t="s">
        <v>444</v>
      </c>
      <c r="D14" s="6" t="s">
        <v>445</v>
      </c>
      <c r="E14" s="6" t="s">
        <v>448</v>
      </c>
      <c r="F14" s="6" t="s">
        <v>298</v>
      </c>
      <c r="G14" s="6" t="s">
        <v>250</v>
      </c>
    </row>
    <row r="15">
      <c r="A15" s="11" t="s">
        <v>454</v>
      </c>
      <c r="B15" s="11" t="s">
        <v>352</v>
      </c>
      <c r="C15" s="11" t="s">
        <v>455</v>
      </c>
      <c r="D15" s="11" t="s">
        <v>256</v>
      </c>
      <c r="E15" s="11" t="s">
        <v>287</v>
      </c>
      <c r="F15" s="11" t="s">
        <v>298</v>
      </c>
      <c r="G15" s="11" t="s">
        <v>264</v>
      </c>
    </row>
    <row r="16">
      <c r="A16" s="6" t="s">
        <v>462</v>
      </c>
      <c r="B16" s="6" t="s">
        <v>463</v>
      </c>
      <c r="C16" s="6" t="s">
        <v>465</v>
      </c>
      <c r="D16" s="6" t="s">
        <v>283</v>
      </c>
      <c r="E16" s="6" t="s">
        <v>467</v>
      </c>
      <c r="F16" s="6" t="s">
        <v>215</v>
      </c>
      <c r="G16" s="6" t="s">
        <v>290</v>
      </c>
    </row>
    <row r="17">
      <c r="A17" s="11" t="s">
        <v>472</v>
      </c>
      <c r="B17" s="11" t="s">
        <v>474</v>
      </c>
      <c r="C17" s="11" t="s">
        <v>475</v>
      </c>
      <c r="D17" s="11" t="s">
        <v>283</v>
      </c>
      <c r="E17" s="11" t="s">
        <v>485</v>
      </c>
      <c r="F17" s="11" t="s">
        <v>298</v>
      </c>
      <c r="G17" s="11" t="s">
        <v>290</v>
      </c>
    </row>
    <row r="18">
      <c r="A18" s="6" t="s">
        <v>491</v>
      </c>
      <c r="B18" s="6" t="s">
        <v>492</v>
      </c>
      <c r="C18" s="6" t="s">
        <v>493</v>
      </c>
      <c r="D18" s="6" t="s">
        <v>283</v>
      </c>
      <c r="E18" s="6" t="s">
        <v>362</v>
      </c>
      <c r="F18" s="6" t="s">
        <v>298</v>
      </c>
      <c r="G18" s="6" t="s">
        <v>290</v>
      </c>
    </row>
    <row r="19">
      <c r="A19" s="11" t="s">
        <v>500</v>
      </c>
      <c r="B19" s="11" t="s">
        <v>501</v>
      </c>
      <c r="C19" s="11" t="s">
        <v>503</v>
      </c>
      <c r="D19" s="11" t="s">
        <v>504</v>
      </c>
      <c r="E19" s="11" t="s">
        <v>505</v>
      </c>
      <c r="F19" s="11" t="s">
        <v>215</v>
      </c>
      <c r="G19" s="11" t="s">
        <v>508</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8.0"/>
    <col customWidth="1" min="3" max="3" width="56.0"/>
    <col customWidth="1" min="4" max="4" width="21.0"/>
    <col customWidth="1" min="5" max="5" width="8.75"/>
    <col customWidth="1" min="6" max="6" width="10.5"/>
    <col customWidth="1" min="7" max="26" width="7.63"/>
  </cols>
  <sheetData>
    <row r="1" ht="33.75" customHeight="1">
      <c r="A1" s="3" t="s">
        <v>169</v>
      </c>
      <c r="B1" s="3" t="s">
        <v>668</v>
      </c>
      <c r="C1" s="3" t="s">
        <v>669</v>
      </c>
      <c r="D1" s="3" t="s">
        <v>217</v>
      </c>
      <c r="E1" s="3" t="s">
        <v>199</v>
      </c>
      <c r="F1" s="3" t="s">
        <v>201</v>
      </c>
    </row>
    <row r="2">
      <c r="A2" s="6" t="s">
        <v>673</v>
      </c>
      <c r="B2" s="6" t="s">
        <v>674</v>
      </c>
      <c r="C2" s="6" t="s">
        <v>675</v>
      </c>
      <c r="D2" s="6" t="s">
        <v>676</v>
      </c>
      <c r="E2" s="6" t="s">
        <v>215</v>
      </c>
      <c r="F2" s="6" t="s">
        <v>250</v>
      </c>
    </row>
    <row r="3">
      <c r="A3" s="11" t="s">
        <v>682</v>
      </c>
      <c r="B3" s="11" t="s">
        <v>684</v>
      </c>
      <c r="C3" s="11" t="s">
        <v>685</v>
      </c>
      <c r="D3" s="11" t="s">
        <v>283</v>
      </c>
      <c r="E3" s="11" t="s">
        <v>215</v>
      </c>
      <c r="F3" s="11" t="s">
        <v>290</v>
      </c>
    </row>
    <row r="4">
      <c r="A4" s="6" t="s">
        <v>690</v>
      </c>
      <c r="B4" s="6" t="s">
        <v>691</v>
      </c>
      <c r="C4" s="6" t="s">
        <v>692</v>
      </c>
      <c r="D4" s="6" t="s">
        <v>693</v>
      </c>
      <c r="E4" s="6" t="s">
        <v>215</v>
      </c>
      <c r="F4" s="6" t="s">
        <v>290</v>
      </c>
    </row>
    <row r="5">
      <c r="A5" s="11" t="s">
        <v>697</v>
      </c>
      <c r="B5" s="11" t="s">
        <v>699</v>
      </c>
      <c r="C5" s="11" t="s">
        <v>700</v>
      </c>
      <c r="D5" s="11" t="s">
        <v>701</v>
      </c>
      <c r="E5" s="11" t="s">
        <v>215</v>
      </c>
      <c r="F5" s="11" t="s">
        <v>264</v>
      </c>
    </row>
    <row r="6">
      <c r="A6" s="6" t="s">
        <v>703</v>
      </c>
      <c r="B6" s="6" t="s">
        <v>705</v>
      </c>
      <c r="C6" s="6" t="s">
        <v>707</v>
      </c>
      <c r="D6" s="6" t="s">
        <v>445</v>
      </c>
      <c r="E6" s="6" t="s">
        <v>298</v>
      </c>
      <c r="F6" s="6" t="s">
        <v>250</v>
      </c>
    </row>
    <row r="7">
      <c r="A7" s="11" t="s">
        <v>711</v>
      </c>
      <c r="B7" s="11" t="s">
        <v>713</v>
      </c>
      <c r="C7" s="11" t="s">
        <v>715</v>
      </c>
      <c r="D7" s="11" t="s">
        <v>445</v>
      </c>
      <c r="E7" s="11" t="s">
        <v>298</v>
      </c>
      <c r="F7" s="11" t="s">
        <v>250</v>
      </c>
    </row>
    <row r="8">
      <c r="A8" s="6" t="s">
        <v>718</v>
      </c>
      <c r="B8" s="6" t="s">
        <v>720</v>
      </c>
      <c r="C8" s="6" t="s">
        <v>722</v>
      </c>
      <c r="D8" s="6" t="s">
        <v>283</v>
      </c>
      <c r="E8" s="6" t="s">
        <v>215</v>
      </c>
      <c r="F8" s="6" t="s">
        <v>290</v>
      </c>
    </row>
    <row r="9">
      <c r="A9" s="11" t="s">
        <v>725</v>
      </c>
      <c r="B9" s="11" t="s">
        <v>727</v>
      </c>
      <c r="C9" s="11" t="s">
        <v>729</v>
      </c>
      <c r="D9" s="11" t="s">
        <v>730</v>
      </c>
      <c r="E9" s="11" t="s">
        <v>298</v>
      </c>
      <c r="F9" s="11" t="s">
        <v>264</v>
      </c>
    </row>
    <row r="10">
      <c r="A10" s="6" t="s">
        <v>732</v>
      </c>
      <c r="B10" s="6" t="s">
        <v>734</v>
      </c>
      <c r="C10" s="6" t="s">
        <v>736</v>
      </c>
      <c r="D10" s="6" t="s">
        <v>445</v>
      </c>
      <c r="E10" s="6" t="s">
        <v>298</v>
      </c>
      <c r="F10" s="6" t="s">
        <v>250</v>
      </c>
    </row>
    <row r="11">
      <c r="A11" s="11" t="s">
        <v>739</v>
      </c>
      <c r="B11" s="11" t="s">
        <v>740</v>
      </c>
      <c r="C11" s="11" t="s">
        <v>742</v>
      </c>
      <c r="D11" s="11" t="s">
        <v>744</v>
      </c>
      <c r="E11" s="11" t="s">
        <v>298</v>
      </c>
      <c r="F11" s="11" t="s">
        <v>290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22.75"/>
    <col customWidth="1" min="3" max="3" width="38.5"/>
    <col customWidth="1" min="4" max="4" width="26.25"/>
    <col customWidth="1" min="5" max="5" width="14.0"/>
    <col customWidth="1" min="6" max="6" width="8.75"/>
    <col customWidth="1" min="7" max="7" width="10.5"/>
    <col customWidth="1" min="8" max="26" width="7.63"/>
  </cols>
  <sheetData>
    <row r="1" ht="33.75" customHeight="1">
      <c r="A1" s="3" t="s">
        <v>169</v>
      </c>
      <c r="B1" s="3" t="s">
        <v>670</v>
      </c>
      <c r="C1" s="3" t="s">
        <v>671</v>
      </c>
      <c r="D1" s="3" t="s">
        <v>171</v>
      </c>
      <c r="E1" s="3" t="s">
        <v>672</v>
      </c>
      <c r="F1" s="3" t="s">
        <v>199</v>
      </c>
      <c r="G1" s="3" t="s">
        <v>201</v>
      </c>
    </row>
    <row r="2">
      <c r="A2" s="6" t="s">
        <v>677</v>
      </c>
      <c r="B2" s="6" t="s">
        <v>678</v>
      </c>
      <c r="C2" s="6" t="s">
        <v>679</v>
      </c>
      <c r="D2" s="6" t="s">
        <v>680</v>
      </c>
      <c r="E2" s="6" t="s">
        <v>681</v>
      </c>
      <c r="F2" s="6" t="s">
        <v>215</v>
      </c>
      <c r="G2" s="6" t="s">
        <v>683</v>
      </c>
    </row>
    <row r="3">
      <c r="A3" s="11" t="s">
        <v>686</v>
      </c>
      <c r="B3" s="11" t="s">
        <v>687</v>
      </c>
      <c r="C3" s="11" t="s">
        <v>688</v>
      </c>
      <c r="D3" s="11" t="s">
        <v>689</v>
      </c>
      <c r="E3" s="11" t="s">
        <v>681</v>
      </c>
      <c r="F3" s="11" t="s">
        <v>215</v>
      </c>
      <c r="G3" s="11" t="s">
        <v>250</v>
      </c>
    </row>
    <row r="4">
      <c r="A4" s="6" t="s">
        <v>694</v>
      </c>
      <c r="B4" s="6" t="s">
        <v>695</v>
      </c>
      <c r="C4" s="6" t="s">
        <v>696</v>
      </c>
      <c r="D4" s="6" t="s">
        <v>698</v>
      </c>
      <c r="E4" s="6" t="s">
        <v>681</v>
      </c>
      <c r="F4" s="6" t="s">
        <v>215</v>
      </c>
      <c r="G4" s="6" t="s">
        <v>290</v>
      </c>
    </row>
    <row r="5">
      <c r="A5" s="11" t="s">
        <v>702</v>
      </c>
      <c r="B5" s="11" t="s">
        <v>348</v>
      </c>
      <c r="C5" s="11" t="s">
        <v>704</v>
      </c>
      <c r="D5" s="11" t="s">
        <v>706</v>
      </c>
      <c r="E5" s="11" t="s">
        <v>681</v>
      </c>
      <c r="F5" s="11" t="s">
        <v>215</v>
      </c>
      <c r="G5" s="11" t="s">
        <v>708</v>
      </c>
    </row>
    <row r="6">
      <c r="A6" s="6" t="s">
        <v>709</v>
      </c>
      <c r="B6" s="6" t="s">
        <v>710</v>
      </c>
      <c r="C6" s="6" t="s">
        <v>712</v>
      </c>
      <c r="D6" s="6" t="s">
        <v>714</v>
      </c>
      <c r="E6" s="6" t="s">
        <v>681</v>
      </c>
      <c r="F6" s="6" t="s">
        <v>298</v>
      </c>
      <c r="G6" s="6" t="s">
        <v>250</v>
      </c>
    </row>
    <row r="7">
      <c r="A7" s="11" t="s">
        <v>716</v>
      </c>
      <c r="B7" s="11" t="s">
        <v>717</v>
      </c>
      <c r="C7" s="11" t="s">
        <v>719</v>
      </c>
      <c r="D7" s="11" t="s">
        <v>721</v>
      </c>
      <c r="E7" s="11" t="s">
        <v>681</v>
      </c>
      <c r="F7" s="11" t="s">
        <v>298</v>
      </c>
      <c r="G7" s="11" t="s">
        <v>250</v>
      </c>
    </row>
    <row r="8">
      <c r="A8" s="6" t="s">
        <v>723</v>
      </c>
      <c r="B8" s="6" t="s">
        <v>724</v>
      </c>
      <c r="C8" s="6" t="s">
        <v>726</v>
      </c>
      <c r="D8" s="6" t="s">
        <v>728</v>
      </c>
      <c r="E8" s="6" t="s">
        <v>681</v>
      </c>
      <c r="F8" s="6" t="s">
        <v>298</v>
      </c>
      <c r="G8" s="6" t="s">
        <v>250</v>
      </c>
    </row>
    <row r="9">
      <c r="A9" s="11" t="s">
        <v>731</v>
      </c>
      <c r="B9" s="11" t="s">
        <v>733</v>
      </c>
      <c r="C9" s="11" t="s">
        <v>735</v>
      </c>
      <c r="D9" s="11" t="s">
        <v>737</v>
      </c>
      <c r="E9" s="11" t="s">
        <v>681</v>
      </c>
      <c r="F9" s="11" t="s">
        <v>215</v>
      </c>
      <c r="G9" s="11" t="s">
        <v>250</v>
      </c>
    </row>
    <row r="10">
      <c r="A10" s="6" t="s">
        <v>738</v>
      </c>
      <c r="B10" s="6" t="s">
        <v>733</v>
      </c>
      <c r="C10" s="6" t="s">
        <v>741</v>
      </c>
      <c r="D10" s="6" t="s">
        <v>743</v>
      </c>
      <c r="E10" s="6" t="s">
        <v>681</v>
      </c>
      <c r="F10" s="6" t="s">
        <v>298</v>
      </c>
      <c r="G10" s="6" t="s">
        <v>264</v>
      </c>
    </row>
    <row r="11">
      <c r="A11" s="11" t="s">
        <v>745</v>
      </c>
      <c r="B11" s="11" t="s">
        <v>236</v>
      </c>
      <c r="C11" s="11" t="s">
        <v>746</v>
      </c>
      <c r="D11" s="11" t="s">
        <v>747</v>
      </c>
      <c r="E11" s="11" t="s">
        <v>748</v>
      </c>
      <c r="F11" s="11" t="s">
        <v>215</v>
      </c>
      <c r="G11" s="11" t="s">
        <v>250</v>
      </c>
    </row>
    <row r="12">
      <c r="A12" s="6" t="s">
        <v>749</v>
      </c>
      <c r="B12" s="6" t="s">
        <v>750</v>
      </c>
      <c r="C12" s="6" t="s">
        <v>751</v>
      </c>
      <c r="D12" s="6" t="s">
        <v>752</v>
      </c>
      <c r="E12" s="6" t="s">
        <v>681</v>
      </c>
      <c r="F12" s="6" t="s">
        <v>298</v>
      </c>
      <c r="G12" s="6" t="s">
        <v>290</v>
      </c>
    </row>
    <row r="13">
      <c r="A13" s="11" t="s">
        <v>753</v>
      </c>
      <c r="B13" s="11" t="s">
        <v>754</v>
      </c>
      <c r="C13" s="11" t="s">
        <v>755</v>
      </c>
      <c r="D13" s="11" t="s">
        <v>756</v>
      </c>
      <c r="E13" s="11" t="s">
        <v>757</v>
      </c>
      <c r="F13" s="11" t="s">
        <v>298</v>
      </c>
      <c r="G13" s="11" t="s">
        <v>758</v>
      </c>
    </row>
    <row r="14">
      <c r="A14" s="6" t="s">
        <v>759</v>
      </c>
      <c r="B14" s="6" t="s">
        <v>760</v>
      </c>
      <c r="C14" s="6" t="s">
        <v>761</v>
      </c>
      <c r="D14" s="6" t="s">
        <v>762</v>
      </c>
      <c r="E14" s="6" t="s">
        <v>748</v>
      </c>
      <c r="F14" s="6" t="s">
        <v>215</v>
      </c>
      <c r="G14" s="6" t="s">
        <v>290</v>
      </c>
    </row>
    <row r="15">
      <c r="A15" s="11" t="s">
        <v>763</v>
      </c>
      <c r="B15" s="11" t="s">
        <v>764</v>
      </c>
      <c r="C15" s="11" t="s">
        <v>765</v>
      </c>
      <c r="D15" s="11" t="s">
        <v>766</v>
      </c>
      <c r="E15" s="11" t="s">
        <v>767</v>
      </c>
      <c r="F15" s="11" t="s">
        <v>398</v>
      </c>
      <c r="G15" s="11" t="s">
        <v>290</v>
      </c>
    </row>
    <row r="16">
      <c r="A16" s="6" t="s">
        <v>768</v>
      </c>
      <c r="B16" s="6" t="s">
        <v>769</v>
      </c>
      <c r="C16" s="6" t="s">
        <v>770</v>
      </c>
      <c r="D16" s="6" t="s">
        <v>771</v>
      </c>
      <c r="E16" s="6" t="s">
        <v>767</v>
      </c>
      <c r="F16" s="6" t="s">
        <v>215</v>
      </c>
      <c r="G16" s="6" t="s">
        <v>290</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75"/>
    <col customWidth="1" min="2" max="3" width="28.0"/>
    <col customWidth="1" min="4" max="4" width="14.0"/>
    <col customWidth="1" min="5" max="5" width="50.75"/>
    <col customWidth="1" min="6" max="26" width="7.63"/>
  </cols>
  <sheetData>
    <row r="1" ht="33.75" customHeight="1">
      <c r="A1" s="3" t="s">
        <v>772</v>
      </c>
      <c r="B1" s="3" t="s">
        <v>773</v>
      </c>
      <c r="C1" s="3" t="s">
        <v>774</v>
      </c>
      <c r="D1" s="3" t="s">
        <v>201</v>
      </c>
      <c r="E1" s="3" t="s">
        <v>775</v>
      </c>
    </row>
    <row r="2">
      <c r="A2" s="6" t="s">
        <v>776</v>
      </c>
      <c r="B2" s="6" t="s">
        <v>777</v>
      </c>
      <c r="C2" s="6" t="s">
        <v>778</v>
      </c>
      <c r="D2" s="6" t="s">
        <v>779</v>
      </c>
      <c r="E2" s="6"/>
    </row>
    <row r="3">
      <c r="A3" s="11" t="s">
        <v>780</v>
      </c>
      <c r="B3" s="11" t="s">
        <v>781</v>
      </c>
      <c r="C3" s="11" t="s">
        <v>778</v>
      </c>
      <c r="D3" s="11" t="s">
        <v>779</v>
      </c>
      <c r="E3" s="11" t="s">
        <v>782</v>
      </c>
    </row>
    <row r="4">
      <c r="A4" s="16" t="s">
        <v>783</v>
      </c>
      <c r="B4" s="16" t="s">
        <v>784</v>
      </c>
      <c r="C4" s="16" t="s">
        <v>785</v>
      </c>
      <c r="D4" s="17" t="s">
        <v>786</v>
      </c>
      <c r="E4" s="16" t="s">
        <v>787</v>
      </c>
    </row>
    <row r="5">
      <c r="A5" s="11" t="s">
        <v>788</v>
      </c>
      <c r="B5" s="11" t="s">
        <v>789</v>
      </c>
      <c r="C5" s="11" t="s">
        <v>790</v>
      </c>
      <c r="D5" s="11" t="s">
        <v>791</v>
      </c>
      <c r="E5" s="11" t="s">
        <v>792</v>
      </c>
    </row>
    <row r="6">
      <c r="A6" s="6" t="s">
        <v>793</v>
      </c>
      <c r="B6" s="6" t="s">
        <v>794</v>
      </c>
      <c r="C6" s="6" t="s">
        <v>795</v>
      </c>
      <c r="D6" s="6" t="s">
        <v>796</v>
      </c>
      <c r="E6" s="6" t="s">
        <v>797</v>
      </c>
    </row>
    <row r="7">
      <c r="A7" s="11" t="s">
        <v>798</v>
      </c>
      <c r="B7" s="11" t="s">
        <v>799</v>
      </c>
      <c r="C7" s="11" t="s">
        <v>800</v>
      </c>
      <c r="D7" s="11" t="s">
        <v>801</v>
      </c>
      <c r="E7" s="11" t="s">
        <v>802</v>
      </c>
    </row>
    <row r="8">
      <c r="A8" s="6" t="s">
        <v>803</v>
      </c>
      <c r="B8" s="6" t="s">
        <v>804</v>
      </c>
      <c r="C8" s="6" t="s">
        <v>805</v>
      </c>
      <c r="D8" s="6" t="s">
        <v>796</v>
      </c>
      <c r="E8" s="6" t="s">
        <v>806</v>
      </c>
    </row>
    <row r="9">
      <c r="A9" s="11" t="s">
        <v>807</v>
      </c>
      <c r="B9" s="11" t="s">
        <v>808</v>
      </c>
      <c r="C9" s="11" t="s">
        <v>809</v>
      </c>
      <c r="D9" s="11" t="s">
        <v>796</v>
      </c>
      <c r="E9" s="11" t="s">
        <v>810</v>
      </c>
    </row>
    <row r="10">
      <c r="A10" s="6" t="s">
        <v>811</v>
      </c>
      <c r="B10" s="6" t="s">
        <v>812</v>
      </c>
      <c r="C10" s="6" t="s">
        <v>813</v>
      </c>
      <c r="D10" s="6" t="s">
        <v>796</v>
      </c>
      <c r="E10" s="6" t="s">
        <v>814</v>
      </c>
    </row>
    <row r="11">
      <c r="A11" s="11" t="s">
        <v>815</v>
      </c>
      <c r="B11" s="11" t="s">
        <v>816</v>
      </c>
      <c r="C11" s="11" t="s">
        <v>817</v>
      </c>
      <c r="D11" s="11" t="s">
        <v>779</v>
      </c>
      <c r="E11" s="11" t="s">
        <v>818</v>
      </c>
    </row>
    <row r="12">
      <c r="A12" s="6" t="s">
        <v>819</v>
      </c>
      <c r="B12" s="6" t="s">
        <v>820</v>
      </c>
      <c r="C12" s="6" t="s">
        <v>821</v>
      </c>
      <c r="D12" s="6" t="s">
        <v>779</v>
      </c>
      <c r="E12" s="6" t="s">
        <v>822</v>
      </c>
    </row>
    <row r="13">
      <c r="A13" s="11" t="s">
        <v>823</v>
      </c>
      <c r="B13" s="11" t="s">
        <v>824</v>
      </c>
      <c r="C13" s="11" t="s">
        <v>821</v>
      </c>
      <c r="D13" s="11" t="s">
        <v>779</v>
      </c>
      <c r="E13" s="11"/>
    </row>
    <row r="14">
      <c r="A14" s="6" t="s">
        <v>825</v>
      </c>
      <c r="B14" s="6" t="s">
        <v>826</v>
      </c>
      <c r="C14" s="6" t="s">
        <v>821</v>
      </c>
      <c r="D14" s="6" t="s">
        <v>779</v>
      </c>
      <c r="E14" s="6"/>
    </row>
    <row r="15">
      <c r="A15" s="11" t="s">
        <v>827</v>
      </c>
      <c r="B15" s="11" t="s">
        <v>828</v>
      </c>
      <c r="C15" s="11" t="s">
        <v>829</v>
      </c>
      <c r="D15" s="11" t="s">
        <v>779</v>
      </c>
      <c r="E15" s="11"/>
    </row>
    <row r="16">
      <c r="A16" s="6" t="s">
        <v>830</v>
      </c>
      <c r="B16" s="6" t="s">
        <v>831</v>
      </c>
      <c r="C16" s="6" t="s">
        <v>829</v>
      </c>
      <c r="D16" s="6" t="s">
        <v>779</v>
      </c>
      <c r="E16" s="6"/>
    </row>
    <row r="17">
      <c r="A17" s="11" t="s">
        <v>832</v>
      </c>
      <c r="B17" s="11" t="s">
        <v>833</v>
      </c>
      <c r="C17" s="11" t="s">
        <v>829</v>
      </c>
      <c r="D17" s="11" t="s">
        <v>779</v>
      </c>
      <c r="E17" s="11"/>
    </row>
    <row r="18">
      <c r="A18" s="6" t="s">
        <v>834</v>
      </c>
      <c r="B18" s="6" t="s">
        <v>835</v>
      </c>
      <c r="C18" s="6" t="s">
        <v>821</v>
      </c>
      <c r="D18" s="6" t="s">
        <v>779</v>
      </c>
      <c r="E18" s="6" t="s">
        <v>836</v>
      </c>
    </row>
    <row r="19">
      <c r="A19" s="11" t="s">
        <v>837</v>
      </c>
      <c r="B19" s="11" t="s">
        <v>838</v>
      </c>
      <c r="C19" s="11" t="s">
        <v>821</v>
      </c>
      <c r="D19" s="11" t="s">
        <v>779</v>
      </c>
      <c r="E19" s="11" t="s">
        <v>839</v>
      </c>
    </row>
    <row r="20">
      <c r="A20" s="6" t="s">
        <v>840</v>
      </c>
      <c r="B20" s="6" t="s">
        <v>841</v>
      </c>
      <c r="C20" s="6" t="s">
        <v>842</v>
      </c>
      <c r="D20" s="6" t="s">
        <v>791</v>
      </c>
      <c r="E20" s="6" t="s">
        <v>843</v>
      </c>
    </row>
    <row r="21">
      <c r="A21" s="11" t="s">
        <v>844</v>
      </c>
      <c r="B21" s="11" t="s">
        <v>845</v>
      </c>
      <c r="C21" s="11" t="s">
        <v>846</v>
      </c>
      <c r="D21" s="11" t="s">
        <v>847</v>
      </c>
      <c r="E21" s="11" t="s">
        <v>848</v>
      </c>
    </row>
    <row r="22">
      <c r="A22" s="6" t="s">
        <v>849</v>
      </c>
      <c r="B22" s="6" t="s">
        <v>850</v>
      </c>
      <c r="C22" s="6" t="s">
        <v>846</v>
      </c>
      <c r="D22" s="6" t="s">
        <v>847</v>
      </c>
      <c r="E22" s="6" t="s">
        <v>851</v>
      </c>
    </row>
    <row r="23">
      <c r="A23" s="16" t="s">
        <v>852</v>
      </c>
      <c r="B23" s="16" t="s">
        <v>853</v>
      </c>
      <c r="C23" s="16" t="s">
        <v>854</v>
      </c>
      <c r="D23" s="17" t="s">
        <v>855</v>
      </c>
      <c r="E23" s="16" t="s">
        <v>856</v>
      </c>
    </row>
    <row r="24">
      <c r="A24" s="16" t="s">
        <v>857</v>
      </c>
      <c r="B24" s="16" t="s">
        <v>858</v>
      </c>
      <c r="C24" s="16" t="s">
        <v>859</v>
      </c>
      <c r="D24" s="17" t="s">
        <v>855</v>
      </c>
      <c r="E24" s="16" t="s">
        <v>860</v>
      </c>
    </row>
    <row r="25">
      <c r="A25" s="16" t="s">
        <v>861</v>
      </c>
      <c r="B25" s="16" t="s">
        <v>862</v>
      </c>
      <c r="C25" s="16" t="s">
        <v>859</v>
      </c>
      <c r="D25" s="17" t="s">
        <v>855</v>
      </c>
      <c r="E25" s="16" t="s">
        <v>863</v>
      </c>
    </row>
    <row r="26">
      <c r="A26" s="16" t="s">
        <v>864</v>
      </c>
      <c r="B26" s="16" t="s">
        <v>865</v>
      </c>
      <c r="C26" s="16" t="s">
        <v>859</v>
      </c>
      <c r="D26" s="17" t="s">
        <v>866</v>
      </c>
      <c r="E26" s="16" t="s">
        <v>867</v>
      </c>
    </row>
    <row r="27">
      <c r="A27" s="11" t="s">
        <v>868</v>
      </c>
      <c r="B27" s="11" t="s">
        <v>869</v>
      </c>
      <c r="C27" s="11" t="s">
        <v>870</v>
      </c>
      <c r="D27" s="11" t="s">
        <v>779</v>
      </c>
      <c r="E27" s="11" t="s">
        <v>871</v>
      </c>
    </row>
    <row r="28">
      <c r="A28" s="6" t="s">
        <v>872</v>
      </c>
      <c r="B28" s="6" t="s">
        <v>873</v>
      </c>
      <c r="C28" s="6" t="s">
        <v>874</v>
      </c>
      <c r="D28" s="6" t="s">
        <v>779</v>
      </c>
      <c r="E28" s="6"/>
    </row>
    <row r="29">
      <c r="A29" s="11" t="s">
        <v>875</v>
      </c>
      <c r="B29" s="11" t="s">
        <v>876</v>
      </c>
      <c r="C29" s="11" t="s">
        <v>877</v>
      </c>
      <c r="D29" s="11" t="s">
        <v>847</v>
      </c>
      <c r="E29" s="11" t="s">
        <v>878</v>
      </c>
    </row>
    <row r="30">
      <c r="A30" s="6" t="s">
        <v>879</v>
      </c>
      <c r="B30" s="6" t="s">
        <v>880</v>
      </c>
      <c r="C30" s="6" t="s">
        <v>881</v>
      </c>
      <c r="D30" s="6" t="s">
        <v>779</v>
      </c>
      <c r="E30" s="6"/>
    </row>
    <row r="31">
      <c r="A31" s="11" t="s">
        <v>882</v>
      </c>
      <c r="B31" s="11" t="s">
        <v>883</v>
      </c>
      <c r="C31" s="11" t="s">
        <v>884</v>
      </c>
      <c r="D31" s="11" t="s">
        <v>779</v>
      </c>
      <c r="E31" s="11" t="s">
        <v>885</v>
      </c>
    </row>
    <row r="32">
      <c r="A32" s="6" t="s">
        <v>886</v>
      </c>
      <c r="B32" s="6" t="s">
        <v>887</v>
      </c>
      <c r="C32" s="6" t="s">
        <v>888</v>
      </c>
      <c r="D32" s="6" t="s">
        <v>779</v>
      </c>
      <c r="E32" s="6" t="s">
        <v>889</v>
      </c>
    </row>
    <row r="33">
      <c r="A33" s="16" t="s">
        <v>890</v>
      </c>
      <c r="B33" s="16" t="s">
        <v>891</v>
      </c>
      <c r="C33" s="16" t="s">
        <v>892</v>
      </c>
      <c r="D33" s="17" t="s">
        <v>893</v>
      </c>
      <c r="E33" s="16" t="s">
        <v>894</v>
      </c>
    </row>
    <row r="34">
      <c r="A34" s="6" t="s">
        <v>895</v>
      </c>
      <c r="B34" s="6" t="s">
        <v>896</v>
      </c>
      <c r="C34" s="6" t="s">
        <v>897</v>
      </c>
      <c r="D34" s="6" t="s">
        <v>779</v>
      </c>
      <c r="E34" s="6" t="s">
        <v>898</v>
      </c>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36.75"/>
    <col customWidth="1" min="3" max="3" width="21.0"/>
    <col customWidth="1" min="4" max="4" width="22.75"/>
    <col customWidth="1" min="5" max="5" width="57.75"/>
    <col customWidth="1" min="6" max="26" width="7.63"/>
  </cols>
  <sheetData>
    <row r="1" ht="33.75" customHeight="1">
      <c r="A1" s="3" t="s">
        <v>899</v>
      </c>
      <c r="B1" s="3" t="s">
        <v>901</v>
      </c>
      <c r="C1" s="3" t="s">
        <v>902</v>
      </c>
      <c r="D1" s="3" t="s">
        <v>903</v>
      </c>
      <c r="E1" s="3" t="s">
        <v>904</v>
      </c>
    </row>
    <row r="2">
      <c r="A2" s="6">
        <v>1.0</v>
      </c>
      <c r="B2" s="6" t="s">
        <v>905</v>
      </c>
      <c r="C2" s="6" t="s">
        <v>906</v>
      </c>
      <c r="D2" s="6" t="s">
        <v>907</v>
      </c>
      <c r="E2" s="6" t="s">
        <v>908</v>
      </c>
    </row>
    <row r="3">
      <c r="A3" s="11">
        <v>2.0</v>
      </c>
      <c r="B3" s="11" t="s">
        <v>909</v>
      </c>
      <c r="C3" s="11" t="s">
        <v>910</v>
      </c>
      <c r="D3" s="11" t="s">
        <v>911</v>
      </c>
      <c r="E3" s="11" t="s">
        <v>912</v>
      </c>
    </row>
    <row r="4">
      <c r="A4" s="6">
        <v>3.0</v>
      </c>
      <c r="B4" s="6" t="s">
        <v>913</v>
      </c>
      <c r="C4" s="6" t="s">
        <v>914</v>
      </c>
      <c r="D4" s="6" t="s">
        <v>915</v>
      </c>
      <c r="E4" s="6" t="s">
        <v>916</v>
      </c>
    </row>
    <row r="5">
      <c r="A5" s="11">
        <v>4.0</v>
      </c>
      <c r="B5" s="11" t="s">
        <v>918</v>
      </c>
      <c r="C5" s="11" t="s">
        <v>663</v>
      </c>
      <c r="D5" s="11" t="s">
        <v>920</v>
      </c>
      <c r="E5" s="11" t="s">
        <v>921</v>
      </c>
    </row>
    <row r="6">
      <c r="A6" s="6">
        <v>5.0</v>
      </c>
      <c r="B6" s="6" t="s">
        <v>923</v>
      </c>
      <c r="C6" s="6" t="s">
        <v>924</v>
      </c>
      <c r="D6" s="6" t="s">
        <v>925</v>
      </c>
      <c r="E6" s="6" t="s">
        <v>926</v>
      </c>
    </row>
    <row r="7">
      <c r="A7" s="11">
        <v>6.0</v>
      </c>
      <c r="B7" s="11" t="s">
        <v>927</v>
      </c>
      <c r="C7" s="11" t="s">
        <v>928</v>
      </c>
      <c r="D7" s="11" t="s">
        <v>929</v>
      </c>
      <c r="E7" s="11" t="s">
        <v>930</v>
      </c>
    </row>
    <row r="8">
      <c r="A8" s="6">
        <v>7.0</v>
      </c>
      <c r="B8" s="6" t="s">
        <v>931</v>
      </c>
      <c r="C8" s="6" t="s">
        <v>910</v>
      </c>
      <c r="D8" s="6" t="s">
        <v>932</v>
      </c>
      <c r="E8" s="6" t="s">
        <v>933</v>
      </c>
    </row>
    <row r="9">
      <c r="A9" s="11">
        <v>8.0</v>
      </c>
      <c r="B9" s="11" t="s">
        <v>934</v>
      </c>
      <c r="C9" s="11" t="s">
        <v>935</v>
      </c>
      <c r="D9" s="11" t="s">
        <v>936</v>
      </c>
      <c r="E9" s="11" t="s">
        <v>937</v>
      </c>
    </row>
    <row r="10">
      <c r="A10" s="6">
        <v>9.0</v>
      </c>
      <c r="B10" s="6" t="s">
        <v>938</v>
      </c>
      <c r="C10" s="6" t="s">
        <v>939</v>
      </c>
      <c r="D10" s="6" t="s">
        <v>940</v>
      </c>
      <c r="E10" s="6" t="s">
        <v>941</v>
      </c>
    </row>
    <row r="11">
      <c r="A11" s="11">
        <v>10.0</v>
      </c>
      <c r="B11" s="11" t="s">
        <v>942</v>
      </c>
      <c r="C11" s="11" t="s">
        <v>943</v>
      </c>
      <c r="D11" s="11" t="s">
        <v>944</v>
      </c>
      <c r="E11" s="11" t="s">
        <v>945</v>
      </c>
    </row>
    <row r="12">
      <c r="A12" s="6">
        <v>11.0</v>
      </c>
      <c r="B12" s="6" t="s">
        <v>946</v>
      </c>
      <c r="C12" s="6" t="s">
        <v>947</v>
      </c>
      <c r="D12" s="6" t="s">
        <v>948</v>
      </c>
      <c r="E12" s="6" t="s">
        <v>949</v>
      </c>
    </row>
    <row r="13">
      <c r="A13" s="11">
        <v>12.0</v>
      </c>
      <c r="B13" s="11" t="s">
        <v>950</v>
      </c>
      <c r="C13" s="11" t="s">
        <v>943</v>
      </c>
      <c r="D13" s="11" t="s">
        <v>952</v>
      </c>
      <c r="E13" s="11" t="s">
        <v>953</v>
      </c>
    </row>
    <row r="14">
      <c r="A14" s="6">
        <v>13.0</v>
      </c>
      <c r="B14" s="6" t="s">
        <v>954</v>
      </c>
      <c r="C14" s="6" t="s">
        <v>728</v>
      </c>
      <c r="D14" s="6" t="s">
        <v>955</v>
      </c>
      <c r="E14" s="6" t="s">
        <v>956</v>
      </c>
    </row>
    <row r="15">
      <c r="A15" s="11">
        <v>14.0</v>
      </c>
      <c r="B15" s="11" t="s">
        <v>957</v>
      </c>
      <c r="C15" s="11" t="s">
        <v>947</v>
      </c>
      <c r="D15" s="11" t="s">
        <v>959</v>
      </c>
      <c r="E15" s="11" t="s">
        <v>960</v>
      </c>
    </row>
    <row r="16">
      <c r="A16" s="6">
        <v>15.0</v>
      </c>
      <c r="B16" s="6" t="s">
        <v>962</v>
      </c>
      <c r="C16" s="6" t="s">
        <v>963</v>
      </c>
      <c r="D16" s="6" t="s">
        <v>964</v>
      </c>
      <c r="E16" s="6" t="s">
        <v>965</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23.13"/>
    <col customWidth="1" min="3" max="3" width="28.75"/>
  </cols>
  <sheetData>
    <row r="1">
      <c r="A1" s="18" t="s">
        <v>900</v>
      </c>
      <c r="B1" s="18" t="s">
        <v>917</v>
      </c>
      <c r="C1" s="18" t="s">
        <v>919</v>
      </c>
    </row>
    <row r="2">
      <c r="A2" s="19" t="s">
        <v>922</v>
      </c>
      <c r="B2" s="20" t="s">
        <v>951</v>
      </c>
      <c r="C2" s="20" t="s">
        <v>958</v>
      </c>
    </row>
    <row r="3">
      <c r="A3" s="19" t="s">
        <v>961</v>
      </c>
      <c r="B3" s="20" t="s">
        <v>966</v>
      </c>
      <c r="C3" s="19" t="s">
        <v>746</v>
      </c>
    </row>
    <row r="4">
      <c r="A4" s="20" t="s">
        <v>967</v>
      </c>
      <c r="B4" s="20" t="s">
        <v>968</v>
      </c>
      <c r="C4" s="20" t="s">
        <v>969</v>
      </c>
    </row>
    <row r="5">
      <c r="A5" s="19" t="s">
        <v>970</v>
      </c>
      <c r="B5" s="20" t="s">
        <v>971</v>
      </c>
      <c r="C5" s="20" t="s">
        <v>972</v>
      </c>
    </row>
    <row r="6">
      <c r="A6" s="19" t="s">
        <v>973</v>
      </c>
      <c r="B6" s="20" t="s">
        <v>974</v>
      </c>
      <c r="C6" s="20" t="s">
        <v>975</v>
      </c>
    </row>
    <row r="7">
      <c r="A7" s="20" t="s">
        <v>976</v>
      </c>
      <c r="B7" s="20" t="s">
        <v>977</v>
      </c>
      <c r="C7" s="20" t="s">
        <v>978</v>
      </c>
    </row>
    <row r="8">
      <c r="A8" s="19" t="s">
        <v>979</v>
      </c>
      <c r="B8" s="20" t="s">
        <v>980</v>
      </c>
      <c r="C8" s="20" t="s">
        <v>981</v>
      </c>
    </row>
    <row r="9">
      <c r="A9" s="20" t="s">
        <v>982</v>
      </c>
      <c r="B9" s="20" t="s">
        <v>983</v>
      </c>
      <c r="C9" s="20" t="s">
        <v>984</v>
      </c>
    </row>
    <row r="10">
      <c r="A10" s="19" t="s">
        <v>985</v>
      </c>
      <c r="B10" s="20" t="s">
        <v>986</v>
      </c>
      <c r="C10" s="20" t="s">
        <v>987</v>
      </c>
    </row>
    <row r="11">
      <c r="A11" s="20" t="s">
        <v>988</v>
      </c>
      <c r="B11" s="20" t="s">
        <v>989</v>
      </c>
      <c r="C11" s="20" t="s">
        <v>990</v>
      </c>
    </row>
    <row r="12">
      <c r="A12" s="21" t="s">
        <v>991</v>
      </c>
      <c r="B12" s="20" t="s">
        <v>992</v>
      </c>
      <c r="C12" s="19" t="s">
        <v>993</v>
      </c>
    </row>
    <row r="13">
      <c r="A13" s="19" t="s">
        <v>994</v>
      </c>
      <c r="B13" s="22"/>
      <c r="C13" s="20" t="s">
        <v>995</v>
      </c>
    </row>
    <row r="14">
      <c r="A14" s="19" t="s">
        <v>996</v>
      </c>
      <c r="B14" s="22"/>
      <c r="C14" s="20" t="s">
        <v>997</v>
      </c>
    </row>
    <row r="15">
      <c r="A15" s="19" t="s">
        <v>998</v>
      </c>
      <c r="B15" s="22"/>
      <c r="C15" s="20" t="s">
        <v>999</v>
      </c>
    </row>
    <row r="16">
      <c r="A16" s="19" t="s">
        <v>1000</v>
      </c>
      <c r="B16" s="22"/>
      <c r="C16" s="22"/>
    </row>
    <row r="17">
      <c r="A17" s="19" t="s">
        <v>1001</v>
      </c>
      <c r="B17" s="22"/>
      <c r="C17" s="22"/>
    </row>
    <row r="18">
      <c r="A18" s="19" t="s">
        <v>1002</v>
      </c>
      <c r="B18" s="22"/>
      <c r="C18" s="22"/>
    </row>
    <row r="19">
      <c r="A19" s="23" t="s">
        <v>1003</v>
      </c>
      <c r="B19" s="22"/>
      <c r="C19" s="22"/>
    </row>
    <row r="20">
      <c r="A20" s="19" t="s">
        <v>1004</v>
      </c>
      <c r="B20" s="22"/>
      <c r="C20" s="22"/>
    </row>
    <row r="21">
      <c r="A21" s="19" t="s">
        <v>1005</v>
      </c>
      <c r="B21" s="22"/>
      <c r="C21" s="22"/>
    </row>
    <row r="22">
      <c r="A22" s="19" t="s">
        <v>1006</v>
      </c>
      <c r="B22" s="22"/>
      <c r="C22" s="22"/>
    </row>
    <row r="23">
      <c r="A23" s="19" t="s">
        <v>1007</v>
      </c>
      <c r="B23" s="22"/>
      <c r="C23" s="22"/>
    </row>
    <row r="26">
      <c r="A26" s="5" t="s">
        <v>1008</v>
      </c>
      <c r="B26" s="5" t="s">
        <v>1009</v>
      </c>
      <c r="C26" s="5" t="s">
        <v>1010</v>
      </c>
    </row>
  </sheetData>
  <hyperlinks>
    <hyperlink r:id="rId4" ref="A2"/>
    <hyperlink r:id="rId5" ref="A3"/>
    <hyperlink r:id="rId6" ref="C3"/>
    <hyperlink r:id="rId7" ref="A5"/>
    <hyperlink r:id="rId8" ref="A6"/>
    <hyperlink r:id="rId9" ref="A8"/>
    <hyperlink r:id="rId10" ref="A10"/>
    <hyperlink r:id="rId11" ref="C12"/>
    <hyperlink r:id="rId12" ref="A13"/>
    <hyperlink r:id="rId13" ref="A14"/>
    <hyperlink r:id="rId14" ref="A15"/>
    <hyperlink r:id="rId15" ref="A16"/>
    <hyperlink r:id="rId16" ref="A17"/>
    <hyperlink r:id="rId17" ref="A18"/>
    <hyperlink r:id="rId18" ref="A20"/>
    <hyperlink r:id="rId19" ref="A21"/>
    <hyperlink r:id="rId20" ref="A22"/>
    <hyperlink r:id="rId21" ref="A23"/>
  </hyperlinks>
  <drawing r:id="rId22"/>
  <legacyDrawing r:id="rId23"/>
</worksheet>
</file>