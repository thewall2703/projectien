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cript" sheetId="1" r:id="rId5"/>
    <sheet state="hidden" name="Deck" sheetId="2" r:id="rId6"/>
    <sheet state="visible" name="00 Read Me" sheetId="3" r:id="rId7"/>
    <sheet state="visible" name="01 Axes" sheetId="4" r:id="rId8"/>
    <sheet state="visible" name="02 Modules" sheetId="5" r:id="rId9"/>
    <sheet state="visible" name="03 Script Matrix" sheetId="6" r:id="rId10"/>
    <sheet state="visible" name="04 Deck Matrix" sheetId="7" r:id="rId11"/>
    <sheet state="visible" name="05 Video Matrix" sheetId="8" r:id="rId12"/>
    <sheet state="visible" name="06 Photo Matrix" sheetId="9" r:id="rId13"/>
    <sheet state="visible" name="07 Report Matrix" sheetId="10" r:id="rId14"/>
    <sheet state="visible" name="08 Locked Facts" sheetId="11" r:id="rId15"/>
    <sheet state="visible" name="09 Objection Pack" sheetId="12" r:id="rId16"/>
    <sheet state="visible" name="Videos  Photos  Reports"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tc={f05200bc-c70e-4f04-91d7-2203a8680729}</author>
  </authors>
  <commentList>
    <comment authorId="0" xr:uid="{f05200bc-c70e-4f04-91d7-2203a8680729}" ref="B2">
      <text>
        <t xml:space="preserve">[Threaded comment]
 Your version of Excel allows you to read this threaded comment; however, any edits to it will get removed if the file is opened in a newer version of Excel. Learn more: https://go.microsoft.com/fwlink/?linkid=870924
Comment:
	@sudeep.purwar@mastersunion.org the best way to do this is to scrape our entire YT and Instagram (all our channels) and tag them on the back end using different heads for use cases. 
For eg. 
Brand Film 
Perf Ad 
Student building a startup - built at mu video 
etc etc. 
This way it will much easier for the tool to scrape and provide data on the front end
Assigned to sudeep.purwar@mastersunion.org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tc={2eed0aa2-a2e8-4232-8e9f-978d43fc4f95}</author>
  </authors>
  <commentList>
    <comment authorId="0" xr:uid="{2eed0aa2-a2e8-4232-8e9f-978d43fc4f95}" ref="A1">
      <text>
        <t xml:space="preserve">[Threaded comment]
 Your version of Excel allows you to read this threaded comment; however, any edits to it will get removed if the file is opened in a newer version of Excel. Learn more: https://go.microsoft.com/fwlink/?linkid=870924
Comment:
	Finding all possible use cases and having not more than 20 pictures each for every use case - 
This activity was already done like 50-60% by Ayushi for the Prospectus. We can just expand on it and complete it. @sudeep.purwar@mastersunion.org 
Scrapping the entire drive every single time is going to take a lot of tokens
Assigned to sudeep.purwar@mastersunion.org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tc={1f8665e0-300e-4422-b68f-041b4b1814bb}</author>
  </authors>
  <commentList>
    <comment authorId="0" xr:uid="{1f8665e0-300e-4422-b68f-041b4b1814bb}" ref="B2">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this is what I'd like you to do - 
Segment reports + brochures across the org in different ways. 
1. UG-PG-Exec-Central Functions - audit whatever you have from the data collection activity that Ananya did across the above 4 departments. See if it covers everything. I'm sure it wouldn't. 
2. Shoot a fresh mail to all decision makers across UG-PG-Exec-CF to submit all the reports, brochures, PDFs ever made by them by Monday EOD -= have Gautam in CC for this along with me. 
3. Once you receive all of these - make a directory here where you have solved for navigation. I'm proposing one here - 
1. No. 
2. Report/Document Name :
3. Published Year : 2020-2026
4. Published by Dept : UG,PG, Exec. CF (write all CF departments alag alag) 
5. Link of the report 
6. Audience of the report (already there in the existing sheet)
Assigned to mrittika.maitra@mastersunion.org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tc={2be4fda4-cc84-4fcf-9efd-2ed073422a05}</author>
    <author>tc={563b2838-8078-4a1c-95a1-5d990b8946fd}</author>
    <author>tc={62b0f637-b43e-45f6-b2d3-823a91b16ce5}</author>
    <author>tc={662afd25-e899-463f-95f5-1db3ee624b5b}</author>
    <author>tc={85f705a4-57a2-4317-882d-e63d81f7b2ca}</author>
    <author>tc={cdb38c20-7c49-40bf-b2b7-a43929adbf98}</author>
  </authors>
  <commentList>
    <comment authorId="0" xr:uid="{2be4fda4-cc84-4fcf-9efd-2ed073422a05}" ref="A20">
      <text>
        <t xml:space="preserve">[Threaded comment]
 Your version of Excel allows you to read this threaded comment; however, any edits to it will get removed if the file is opened in a newer version of Excel. Learn more: https://go.microsoft.com/fwlink/?linkid=870924
Comment:
	Ishika has this
Reply:
	not live yet, she'll send it to me when its ready
</t>
      </text>
    </comment>
    <comment authorId="1" xr:uid="{563b2838-8078-4a1c-95a1-5d990b8946fd}" ref="A16">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 authorId="2" xr:uid="{62b0f637-b43e-45f6-b2d3-823a91b16ce5}" ref="A21">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 authorId="3" xr:uid="{662afd25-e899-463f-95f5-1db3ee624b5b}" ref="A4">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Devansh has this
</t>
      </text>
    </comment>
    <comment authorId="4" xr:uid="{85f705a4-57a2-4317-882d-e63d81f7b2ca}" ref="A22">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 authorId="5" xr:uid="{cdb38c20-7c49-40bf-b2b7-a43929adbf98}" ref="A7">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devansh has this
Reply:
	not live on youtube, will upload unlist and link
</t>
      </text>
    </comment>
  </commentList>
</comments>
</file>

<file path=xl/sharedStrings.xml><?xml version="1.0" encoding="utf-8"?>
<sst xmlns="http://schemas.openxmlformats.org/spreadsheetml/2006/main" count="1708" uniqueCount="1025">
  <si>
    <t>Use Cases of Script</t>
  </si>
  <si>
    <t>Use Cases of Deck</t>
  </si>
  <si>
    <t>Axis</t>
  </si>
  <si>
    <t>Masters' Union — One Company, One Story</t>
  </si>
  <si>
    <t>Disposition</t>
  </si>
  <si>
    <t>Interests/ Concern</t>
  </si>
  <si>
    <t>Script</t>
  </si>
  <si>
    <t>Video</t>
  </si>
  <si>
    <t>In 1 Min</t>
  </si>
  <si>
    <t>Script, deck and asset architecture · Structure v2 (MECE rebuild)</t>
  </si>
  <si>
    <t>Google Slides</t>
  </si>
  <si>
    <t>PDF</t>
  </si>
  <si>
    <t>In 2 Mins</t>
  </si>
  <si>
    <t>Figma</t>
  </si>
  <si>
    <t>In 5 Mins</t>
  </si>
  <si>
    <t xml:space="preserve">In 10 Mins </t>
  </si>
  <si>
    <t>Master Deck</t>
  </si>
  <si>
    <t xml:space="preserve">To Parents (UG) </t>
  </si>
  <si>
    <t>Deck for Placements Team for Recruiters</t>
  </si>
  <si>
    <t>The architecture (three layers)</t>
  </si>
  <si>
    <t>To School students for UG</t>
  </si>
  <si>
    <t>Deck for PG/UG/Exec student AMA</t>
  </si>
  <si>
    <t>To a 23 year old for PG</t>
  </si>
  <si>
    <t>To a 30 year old for Exec</t>
  </si>
  <si>
    <t>Deck for parents meet</t>
  </si>
  <si>
    <t>To a Family Business 2nd gen entrepreneur</t>
  </si>
  <si>
    <t xml:space="preserve">Deck for getting faculties onboard </t>
  </si>
  <si>
    <t xml:space="preserve">To a PGP Bharat aspirant </t>
  </si>
  <si>
    <t>Code</t>
  </si>
  <si>
    <t>Value</t>
  </si>
  <si>
    <t>Definition / note</t>
  </si>
  <si>
    <t>Layer 0 — The Canon</t>
  </si>
  <si>
    <t>One document. The complete, sourced account of Masters' Union. Nobody ever delivers it verbatim. Everything below is derived from it. Owned by Brand. Version-controlled.</t>
  </si>
  <si>
    <t>1. Audience cluster</t>
  </si>
  <si>
    <t>Layer 1 — The Modules</t>
  </si>
  <si>
    <t>14 story blocks (tab 02). Every sentence anyone says about Masters' Union belongs to exactly one module. This is where MECE actually lives.</t>
  </si>
  <si>
    <t>Layer 2 — The Recipes</t>
  </si>
  <si>
    <t>Each script is not prose. It is a module sequence with a word budget and a lock/flex marking. 'Parent, 2 min, phone, no assets' = M01 → M04 → M05 → M07 → M13 → M14, 280 words, three locked sentences.</t>
  </si>
  <si>
    <t>Lock and Flex — the mechanism that makes 1500 people consistent</t>
  </si>
  <si>
    <t>A</t>
  </si>
  <si>
    <t>LOCKED</t>
  </si>
  <si>
    <t>Demand</t>
  </si>
  <si>
    <t>People who might enrol, and the people who decide alongside them</t>
  </si>
  <si>
    <t>Sentences that must be said verbatim. Every number, every institutional fact, every honest disclosure. Roughly 15–20% of any script. These are the source of truth.</t>
  </si>
  <si>
    <t>FLEX</t>
  </si>
  <si>
    <t>Everything else. Beats, not prose. A salesperson in Indore and a founder on stage should sound like different people telling the same story — not the same person reading the same paragraph.</t>
  </si>
  <si>
    <t>Why this works</t>
  </si>
  <si>
    <t>B</t>
  </si>
  <si>
    <t>Talent</t>
  </si>
  <si>
    <t>Scripting people word-for-word fails at scale because nobody memorises prose. Scripting the SEQUENCE and locking only the FACTS is what actually holds. It is also the only version that survives a number changing — you reissue one locked line, not sixty documents.</t>
  </si>
  <si>
    <t>People who might work here or teach here</t>
  </si>
  <si>
    <t>How to use the tabs</t>
  </si>
  <si>
    <t>C</t>
  </si>
  <si>
    <t>Capital</t>
  </si>
  <si>
    <t>People who might fund the institution or its funds</t>
  </si>
  <si>
    <t>01 Axes</t>
  </si>
  <si>
    <t>The five MECE dimensions. Any script, deck or asset is a coordinate in this space.</t>
  </si>
  <si>
    <t>D</t>
  </si>
  <si>
    <t>02 Modules</t>
  </si>
  <si>
    <t>Commercial</t>
  </si>
  <si>
    <t>The 14 story blocks. Write these once, properly. This is the real work.</t>
  </si>
  <si>
    <t>People who might hire from, buy from, or partner with us</t>
  </si>
  <si>
    <t>03 Script Matrix</t>
  </si>
  <si>
    <t>E</t>
  </si>
  <si>
    <t>Institutional</t>
  </si>
  <si>
    <t>The full use-case universe with build priority and module recipe.</t>
  </si>
  <si>
    <t>People who legitimise, regulate, accredit or rank us</t>
  </si>
  <si>
    <t>04 Deck Matrix</t>
  </si>
  <si>
    <t>Every deck that should exist, and which modules it draws from.</t>
  </si>
  <si>
    <t>F</t>
  </si>
  <si>
    <t>Public</t>
  </si>
  <si>
    <t>05 Video Matrix</t>
  </si>
  <si>
    <t>People who carry the story onward — press, creators, alumni, social</t>
  </si>
  <si>
    <t>Videos organised by the job they do, not by the shoot that produced them.</t>
  </si>
  <si>
    <t>2. Duration</t>
  </si>
  <si>
    <t>T0</t>
  </si>
  <si>
    <t>06 Photo Matrix</t>
  </si>
  <si>
    <t>30 seconds</t>
  </si>
  <si>
    <t>Photography organised by what each image has to prove.</t>
  </si>
  <si>
    <t>The lift. One sentence plus one proof. Every employee must have this.</t>
  </si>
  <si>
    <t>07 Report Matrix</t>
  </si>
  <si>
    <t>Reports organised by what they verify.</t>
  </si>
  <si>
    <t>T1</t>
  </si>
  <si>
    <t>2 minutes</t>
  </si>
  <si>
    <t>The standard answer. The single highest-volume script in the company.</t>
  </si>
  <si>
    <t>08 Locked Facts</t>
  </si>
  <si>
    <t>The numbers register. Read this before anyone writes a word.</t>
  </si>
  <si>
    <t>T2</t>
  </si>
  <si>
    <t>5 minutes</t>
  </si>
  <si>
    <t>09 Objection Pack</t>
  </si>
  <si>
    <t>The coffee conversation. Room for one full proof block.</t>
  </si>
  <si>
    <t>The 12 hardest questions and the agreed answer. Module 13 in full.</t>
  </si>
  <si>
    <t>T3</t>
  </si>
  <si>
    <t>Status of the two pre-writing blockers</t>
  </si>
  <si>
    <t>10 minutes</t>
  </si>
  <si>
    <t>The seated pitch. Proof plus mechanism plus objection.</t>
  </si>
  <si>
    <t>1. University status — RESOLVED</t>
  </si>
  <si>
    <t>T4</t>
  </si>
  <si>
    <t>30 minutes</t>
  </si>
  <si>
    <t>Deck-led session. Assets carry structure; script carries voice.</t>
  </si>
  <si>
    <t>Haryana has passed the bill. Masters' Union University is the institution. This is now the single largest asset in the story and it rewrites Module 02, Module 13 and the whole of the objection pack. It also creates three new questions that did not exist last month — see tab 09, items 1 to 4. Those must be answered before any script ships, because 1,500 people will be asked them within a week.</t>
  </si>
  <si>
    <t>T5</t>
  </si>
  <si>
    <t>90 minutes</t>
  </si>
  <si>
    <t>2. Faculty mix — RESOLVED</t>
  </si>
  <si>
    <t>Campus walkthrough. The building is the asset; script is a route plus stops.</t>
  </si>
  <si>
    <t>40 practitioners / 30 full-time PhD faculty / 30 visiting international. Confirm the mapping is that way round (tab 08) and the Homepage Brief's 50/30/20 line is corrected before the agency sets it in type.</t>
  </si>
  <si>
    <t>3. Channel</t>
  </si>
  <si>
    <t>3. Still open — the numbers</t>
  </si>
  <si>
    <t>CH1</t>
  </si>
  <si>
    <t>Venture count and value are stated two different ways. Jobs created is stated two different ways. Revenue methodology is mixed. Employee headcount and current acceptance rate have no published source. See tab 08. If 1,500 people start quoting these, the conflicts become public.</t>
  </si>
  <si>
    <t>The new decision the bill creates</t>
  </si>
  <si>
    <t>The naming rule</t>
  </si>
  <si>
    <t>Is the brand 'Masters' Union' with 'University' used only in institutional and regulatory contexts, or is it 'Masters' Union University' everywhere — signature, deck, ad, hoarding, phone call? This is exactly the kind of question that produces 1,500 versions if it is not answered in one line. Answer it before the scripts, not after. Whatever is decided goes into the brand guidelines the same day.</t>
  </si>
  <si>
    <t>Voice only</t>
  </si>
  <si>
    <t>Phone call. No visuals. Hardest constraint — everything must be sayable.</t>
  </si>
  <si>
    <t>CH2</t>
  </si>
  <si>
    <t>In person, no assets</t>
  </si>
  <si>
    <t>Corridor, event floor, dinner table.</t>
  </si>
  <si>
    <t>CH3</t>
  </si>
  <si>
    <t>With deck</t>
  </si>
  <si>
    <t>In person or video call, screen or printed deck.</t>
  </si>
  <si>
    <t>CH4</t>
  </si>
  <si>
    <t>Campus walkthrough</t>
  </si>
  <si>
    <t>Physical space does the proving. Script is a route, not a monologue.</t>
  </si>
  <si>
    <t>CH5</t>
  </si>
  <si>
    <t>Written</t>
  </si>
  <si>
    <t>Email, WhatsApp, LinkedIn. Read not heard — different rhythm, shorter sentences.</t>
  </si>
  <si>
    <t>CH6</t>
  </si>
  <si>
    <t>Stage</t>
  </si>
  <si>
    <t>Podium, panel, convocation, conference. One-to-many, no dialogue.</t>
  </si>
  <si>
    <t>CH7</t>
  </si>
  <si>
    <t>Camera</t>
  </si>
  <si>
    <t>Recorded or broadcast. Every word is permanent and quotable.</t>
  </si>
  <si>
    <t>4. Intent</t>
  </si>
  <si>
    <t>I1</t>
  </si>
  <si>
    <t>Inform</t>
  </si>
  <si>
    <t>They do not know what this is.</t>
  </si>
  <si>
    <t>I2</t>
  </si>
  <si>
    <t>Persuade</t>
  </si>
  <si>
    <t>They know what it is and are deciding.</t>
  </si>
  <si>
    <t>I3</t>
  </si>
  <si>
    <t>Defend</t>
  </si>
  <si>
    <t>They have an objection, spoken or unspoken.</t>
  </si>
  <si>
    <t>I4</t>
  </si>
  <si>
    <t>Recruit</t>
  </si>
  <si>
    <t>We want them to join — as student, employee or faculty.</t>
  </si>
  <si>
    <t>I5</t>
  </si>
  <si>
    <t>Transact</t>
  </si>
  <si>
    <t>We want them to buy, partner, hire or fund.</t>
  </si>
  <si>
    <t>I6</t>
  </si>
  <si>
    <t>Represent</t>
  </si>
  <si>
    <t>Formal or institutional. We are on the record.</t>
  </si>
  <si>
    <t>5. Temperature</t>
  </si>
  <si>
    <t>X1</t>
  </si>
  <si>
    <t>Cold</t>
  </si>
  <si>
    <t>Never heard of us.</t>
  </si>
  <si>
    <t>X2</t>
  </si>
  <si>
    <t>Warm</t>
  </si>
  <si>
    <t>Heard of us. Curious, possibly sceptical.</t>
  </si>
  <si>
    <t>X3</t>
  </si>
  <si>
    <t>Hot</t>
  </si>
  <si>
    <t>Actively evaluating. Comparing against named alternatives.</t>
  </si>
  <si>
    <t>X4</t>
  </si>
  <si>
    <t>Closing</t>
  </si>
  <si>
    <t>Ready, but has one blocker left.</t>
  </si>
  <si>
    <t>X5</t>
  </si>
  <si>
    <t>Post-decision</t>
  </si>
  <si>
    <t>Already in. Now needs to be able to tell the story themselves.</t>
  </si>
  <si>
    <t>ID</t>
  </si>
  <si>
    <t>Module</t>
  </si>
  <si>
    <t>The job it does</t>
  </si>
  <si>
    <t>Core content (from existing assets)</t>
  </si>
  <si>
    <t>Primary source</t>
  </si>
  <si>
    <t>Owner</t>
  </si>
  <si>
    <t>M01</t>
  </si>
  <si>
    <t>Origin</t>
  </si>
  <si>
    <t>Answers 'why does this exist' before answering 'what is it'</t>
  </si>
  <si>
    <t>Medical students learn from doctors, in hospitals, with real patients. Why should business be different. Founded 2020, opened a campus when everyone else went online. 60 students then, 2,500+ now.</t>
  </si>
  <si>
    <t>Brand Deck p2–7, p16–17</t>
  </si>
  <si>
    <t>Brand</t>
  </si>
  <si>
    <t>Audience</t>
  </si>
  <si>
    <t>M02</t>
  </si>
  <si>
    <t>Institution</t>
  </si>
  <si>
    <t>Establishes that this is a real institution, not a bootcamp</t>
  </si>
  <si>
    <t>Audience Cluster</t>
  </si>
  <si>
    <t>Masters' Union University. Bill passed by the Government of Haryana. What that means and what it changes. Board of Governors — Kohli, Gambhir, Bansal. EFMD, AACSB, BGA, BSIS, NSDC. Rankings. Campus at DLF Cyberpark, Gurugram.</t>
  </si>
  <si>
    <t>Haryana bill; Prospectus p9–14; Brand Deck p11</t>
  </si>
  <si>
    <t>Brand + Legal</t>
  </si>
  <si>
    <t>M03</t>
  </si>
  <si>
    <t>Model</t>
  </si>
  <si>
    <t>Explains how learning works here in one breath</t>
  </si>
  <si>
    <t>Duration</t>
  </si>
  <si>
    <t>Inclass, Outclass, Immersions. Half the teaching is done by people currently running businesses.</t>
  </si>
  <si>
    <t>Channel</t>
  </si>
  <si>
    <t>Brand Deck p20</t>
  </si>
  <si>
    <t>Intent</t>
  </si>
  <si>
    <t>Academics</t>
  </si>
  <si>
    <t>Module recipe</t>
  </si>
  <si>
    <t>M04</t>
  </si>
  <si>
    <t>Priority</t>
  </si>
  <si>
    <t>Sequence</t>
  </si>
  <si>
    <t>Answers the parent's real question: what will they do on a Tuesday</t>
  </si>
  <si>
    <t>Term-by-term: sell something, solve for a client, invest real money, go and look, build the company, raise. Dropshipping, Creator Challenge, Food Lab, Makers Lab, Bloomberg Lab, VIP, Demo Day.</t>
  </si>
  <si>
    <t>Status</t>
  </si>
  <si>
    <t>Homepage Brief S03, Brand Deck p29–51</t>
  </si>
  <si>
    <t>Ref</t>
  </si>
  <si>
    <t>U-01</t>
  </si>
  <si>
    <t>Deck</t>
  </si>
  <si>
    <t>M05</t>
  </si>
  <si>
    <t>Who it is for</t>
  </si>
  <si>
    <t>People proof</t>
  </si>
  <si>
    <t>Universal — anyone, any setting</t>
  </si>
  <si>
    <t>Makes the claim believable using humans, not aggregates</t>
  </si>
  <si>
    <t>Length</t>
  </si>
  <si>
    <t>All</t>
  </si>
  <si>
    <t>Named alumni, was-to-now. Jas Desai, Komal Bansal, Karan Mulky, Kriti Gupta, Rishie Prabhakaran. Career transitions from the Brand Deck. Every one checkable on LinkedIn.</t>
  </si>
  <si>
    <t>Modules drawn from</t>
  </si>
  <si>
    <t>T0 30 sec</t>
  </si>
  <si>
    <t>Careers Report 2025, Brand Deck p59–63</t>
  </si>
  <si>
    <t>CH1/CH2 Voice</t>
  </si>
  <si>
    <t>Format</t>
  </si>
  <si>
    <t>I1 Inform</t>
  </si>
  <si>
    <t>M01 &gt; M04 &gt; M14</t>
  </si>
  <si>
    <t>P0</t>
  </si>
  <si>
    <t>M06</t>
  </si>
  <si>
    <t>Venture proof</t>
  </si>
  <si>
    <t>Not started</t>
  </si>
  <si>
    <t>Proves students build real companies with real revenue</t>
  </si>
  <si>
    <t>EIGHT, JustMyRoots, Bullspree, PlaySuper, Cryptique, Nivara, Khet, Zenmo, Beyond Veda, Guardex. Exact figures, never rounded. Grant-in to outcome-out pairing.</t>
  </si>
  <si>
    <t>Entrepreneurship Report 2021–25</t>
  </si>
  <si>
    <t>U-02</t>
  </si>
  <si>
    <t>Brand + Ventures</t>
  </si>
  <si>
    <t>D-01</t>
  </si>
  <si>
    <t>M07</t>
  </si>
  <si>
    <t>T1 2 min</t>
  </si>
  <si>
    <t>Outcome proof</t>
  </si>
  <si>
    <t>Any audience, any setting — the parent file</t>
  </si>
  <si>
    <t>Answers the placement question with methodology attached</t>
  </si>
  <si>
    <t>60–80 slides</t>
  </si>
  <si>
    <t>M01 &gt; M03 &gt; M05 &gt; M07 &gt; M14</t>
  </si>
  <si>
    <t>All 14</t>
  </si>
  <si>
    <t>Average AND median, side by side. Quartiles. Audited by Brickwork Ratings, IPRS Rev 2.2. What we exclude from CTC and why. The 74/5/17/2/2 outcome split.</t>
  </si>
  <si>
    <t>Google Slides + PDF + Figma</t>
  </si>
  <si>
    <t>Cohort of 2025 Careers Report</t>
  </si>
  <si>
    <t>Brand + Careers</t>
  </si>
  <si>
    <t>U-03</t>
  </si>
  <si>
    <t>Universal — written one-paragraph version</t>
  </si>
  <si>
    <t>M08</t>
  </si>
  <si>
    <t>Faculty</t>
  </si>
  <si>
    <t>D-02</t>
  </si>
  <si>
    <t>Justifies the fee</t>
  </si>
  <si>
    <t>CH5 Written</t>
  </si>
  <si>
    <t>The 10-slide cutdown</t>
  </si>
  <si>
    <t>Anyone, 10 minutes, no prep</t>
  </si>
  <si>
    <t>40 practitioners / 30 full-time PhD / 30 visiting international. Named faculty with receipts — Kohli, Phiroz, Seth, Raman, Vaidya, Munjal. Not titles. Things they built.</t>
  </si>
  <si>
    <t>10 slides</t>
  </si>
  <si>
    <t>Brand Deck p22–25 — resolved to 40/30/30</t>
  </si>
  <si>
    <t>M01 M04 M05 M07 M13 M14</t>
  </si>
  <si>
    <t>Google Slides + PDF</t>
  </si>
  <si>
    <t>M09</t>
  </si>
  <si>
    <t>U-04</t>
  </si>
  <si>
    <t>Campus</t>
  </si>
  <si>
    <t>Universal — 'so what do you do?' at a party</t>
  </si>
  <si>
    <t>Makes it physical and specific</t>
  </si>
  <si>
    <t>D-03</t>
  </si>
  <si>
    <t>UG admissions deck</t>
  </si>
  <si>
    <t>The literal inventory: Makers Lab, PwC AI Lab with NVIDIA units, Bloomberg Lab, Food Lab, pitching zone, auditorium. Machines and rooms, not 'world-class facilities'.</t>
  </si>
  <si>
    <t>School students</t>
  </si>
  <si>
    <t>CH2 No assets</t>
  </si>
  <si>
    <t>Brand Deck p73–82, Prospectus</t>
  </si>
  <si>
    <t>25 slides</t>
  </si>
  <si>
    <t>M01 M03 M04 M06 M09 M12 M14</t>
  </si>
  <si>
    <t>M01 &gt; M06</t>
  </si>
  <si>
    <t>M10</t>
  </si>
  <si>
    <t>Programmes</t>
  </si>
  <si>
    <t>Routes the listener to their own door</t>
  </si>
  <si>
    <t>P1</t>
  </si>
  <si>
    <t>Five doors, named by person not product: finishing school / have a degree / mid-career / family business / a few weeks not a few years.</t>
  </si>
  <si>
    <t>D-04</t>
  </si>
  <si>
    <t>Homepage Brief S04</t>
  </si>
  <si>
    <t>UG parents deck</t>
  </si>
  <si>
    <t>Admissions</t>
  </si>
  <si>
    <t>Parents of UG aspirants</t>
  </si>
  <si>
    <t>A1-1</t>
  </si>
  <si>
    <t>20 slides</t>
  </si>
  <si>
    <t>M11</t>
  </si>
  <si>
    <t>School student, Class 11–12 (UG)</t>
  </si>
  <si>
    <t>M02 M04 M05 M07 M13 M09 M14</t>
  </si>
  <si>
    <t>D-05</t>
  </si>
  <si>
    <t>Ecosystem</t>
  </si>
  <si>
    <t>PG admissions deck</t>
  </si>
  <si>
    <t>Shows the machine behind the outcomes</t>
  </si>
  <si>
    <t>MU Ventures and its funds. Demo Day and the investor room. Shark Tank pipeline. Founder Fellowship. The student-run fund.</t>
  </si>
  <si>
    <t>Brand Deck p43–50</t>
  </si>
  <si>
    <t>21–30, career switchers</t>
  </si>
  <si>
    <t>Ventures</t>
  </si>
  <si>
    <t>M04 M05 M07 M11 M14</t>
  </si>
  <si>
    <t>M12</t>
  </si>
  <si>
    <t>Culture</t>
  </si>
  <si>
    <t>A Demand</t>
  </si>
  <si>
    <t>Makes it somewhere you would want to be</t>
  </si>
  <si>
    <t>Clubs and fraternities, case competitions, Unmute, festivities, student life. The part that has nothing to do with outcomes.</t>
  </si>
  <si>
    <t>Brand Deck p67–72</t>
  </si>
  <si>
    <t>D-06</t>
  </si>
  <si>
    <t>Student Life</t>
  </si>
  <si>
    <t>Executive programmes deck</t>
  </si>
  <si>
    <t>M13</t>
  </si>
  <si>
    <t>30–45 working professionals</t>
  </si>
  <si>
    <t>Honest</t>
  </si>
  <si>
    <t>Disarms the objection by raising it first</t>
  </si>
  <si>
    <t>I2 Persuade</t>
  </si>
  <si>
    <t>M02 M08 M04 M05 M07 M14</t>
  </si>
  <si>
    <t>M01 &gt; M04 &gt; M06 &gt; M12 &gt; M14</t>
  </si>
  <si>
    <t>REWRITTEN BY THE BILL. The recognition position is now an asset, not a liability — but it creates new questions about prior cohorts and about what changed. What we are not. What the critical coverage says and our answer. Ventures that failed. See tab 09.</t>
  </si>
  <si>
    <t>Haryana bill; Homepage Brief S08; tab 09</t>
  </si>
  <si>
    <t>D-07</t>
  </si>
  <si>
    <t>Family business deck</t>
  </si>
  <si>
    <t>M14</t>
  </si>
  <si>
    <t>Promoters, 2nd and 3rd gen</t>
  </si>
  <si>
    <t>Ask</t>
  </si>
  <si>
    <t>Converts</t>
  </si>
  <si>
    <t>A1-2</t>
  </si>
  <si>
    <t>M01 M08 M04 M06 M12 M14</t>
  </si>
  <si>
    <t>The specific next step for this audience. One ask, one date, one link. Never two.</t>
  </si>
  <si>
    <t>Per audience</t>
  </si>
  <si>
    <t>Function owner</t>
  </si>
  <si>
    <t>T3 10 min</t>
  </si>
  <si>
    <t>CH3 With deck</t>
  </si>
  <si>
    <t>D-08</t>
  </si>
  <si>
    <t>M01 &gt; M03 &gt; M04 &gt; M06 &gt; M12 &gt; M09 &gt; M14</t>
  </si>
  <si>
    <t>PGP Bharat deck</t>
  </si>
  <si>
    <t>PGP Bharat aspirants and parents</t>
  </si>
  <si>
    <t>18 slides</t>
  </si>
  <si>
    <t>M01 M04 M06 M07 M14</t>
  </si>
  <si>
    <t>A1-3</t>
  </si>
  <si>
    <t>School student — school assembly / stage</t>
  </si>
  <si>
    <t>D-09</t>
  </si>
  <si>
    <t>Recruiter deck</t>
  </si>
  <si>
    <t>T4 30 min</t>
  </si>
  <si>
    <t>Talent acquisition, hiring managers</t>
  </si>
  <si>
    <t>CH6 Stage</t>
  </si>
  <si>
    <t>M02 M04 M08 M05 M07 M14</t>
  </si>
  <si>
    <t>M01 &gt; M04 &gt; M06 &gt; M05 &gt; M12 &gt; M14</t>
  </si>
  <si>
    <t>P2</t>
  </si>
  <si>
    <t>D-10</t>
  </si>
  <si>
    <t>Enterprise L&amp;D deck</t>
  </si>
  <si>
    <t>A2-1</t>
  </si>
  <si>
    <t>Corporate L&amp;D buyers</t>
  </si>
  <si>
    <t>Parent of UG aspirant</t>
  </si>
  <si>
    <t>M03 M08 M04 M14</t>
  </si>
  <si>
    <t>CH1 Phone</t>
  </si>
  <si>
    <t>M02 &gt; M04 &gt; M07 &gt; M13 &gt; M14</t>
  </si>
  <si>
    <t>D-11</t>
  </si>
  <si>
    <t>Investor deck</t>
  </si>
  <si>
    <t>A2-2</t>
  </si>
  <si>
    <t>VCs, institutional capital</t>
  </si>
  <si>
    <t>M01 &gt; M02 &gt; M04 &gt; M05 &gt; M07 &gt; M13 &gt; M14</t>
  </si>
  <si>
    <t>M02 M07 M11 M06 M13 M14</t>
  </si>
  <si>
    <t>D-12</t>
  </si>
  <si>
    <t>Government / regulatory deck</t>
  </si>
  <si>
    <t>Haryana, UGC, AICTE</t>
  </si>
  <si>
    <t>30 slides</t>
  </si>
  <si>
    <t>M02 M01 M03 M07 M09 M12</t>
  </si>
  <si>
    <t>D-13</t>
  </si>
  <si>
    <t>Accreditation deck</t>
  </si>
  <si>
    <t>AACSB, EFMD, BGA, QS</t>
  </si>
  <si>
    <t>40 slides</t>
  </si>
  <si>
    <t>M02 M03 M08 M07 M09</t>
  </si>
  <si>
    <t>D-14</t>
  </si>
  <si>
    <t>Faculty hiring deck</t>
  </si>
  <si>
    <t>Academic and practitioner candidates</t>
  </si>
  <si>
    <t>M01 M02 M03 M08 M09 M14</t>
  </si>
  <si>
    <t>A2-3</t>
  </si>
  <si>
    <t>D-15</t>
  </si>
  <si>
    <t>Parent of UG aspirant — objection-led</t>
  </si>
  <si>
    <t>Employee EVP deck</t>
  </si>
  <si>
    <t>Prospective employees</t>
  </si>
  <si>
    <t>T2 5 min</t>
  </si>
  <si>
    <t>15 slides</t>
  </si>
  <si>
    <t>M01 M02 M12 M11 M14</t>
  </si>
  <si>
    <t>I3 Defend</t>
  </si>
  <si>
    <t>M13 &gt; M07 &gt; M05 &gt; M02 &gt; M14</t>
  </si>
  <si>
    <t>D-16</t>
  </si>
  <si>
    <t>New joiner induction deck</t>
  </si>
  <si>
    <t>Day 1, every new employee</t>
  </si>
  <si>
    <t>A2-4</t>
  </si>
  <si>
    <t>Parent of UG aspirant — campus visit</t>
  </si>
  <si>
    <t>D-17</t>
  </si>
  <si>
    <t>Board deck</t>
  </si>
  <si>
    <t>Board of Governors</t>
  </si>
  <si>
    <t>T5 90 min</t>
  </si>
  <si>
    <t>CH4 Walkthrough</t>
  </si>
  <si>
    <t>M02 M07 M06 M11</t>
  </si>
  <si>
    <t>M09 &gt; M04 &gt; M03 &gt; M08 &gt; M06 &gt; M12 &gt; M07 &gt; M13 &gt; M14</t>
  </si>
  <si>
    <t>D-18</t>
  </si>
  <si>
    <t>Student AMA deck</t>
  </si>
  <si>
    <t>Current UG / PG / Exec students</t>
  </si>
  <si>
    <t>A2-5</t>
  </si>
  <si>
    <t>Parents meet — one-to-many</t>
  </si>
  <si>
    <t>M04 M11 M12 M14</t>
  </si>
  <si>
    <t>D-19</t>
  </si>
  <si>
    <t>Alumni deck</t>
  </si>
  <si>
    <t>M01 &gt; M02 &gt; M04 &gt; M07 &gt; M13 &gt; M14</t>
  </si>
  <si>
    <t>Alumni network and chapters</t>
  </si>
  <si>
    <t>M01 M02 M05 M06 M14</t>
  </si>
  <si>
    <t>D-20</t>
  </si>
  <si>
    <t>Press kit</t>
  </si>
  <si>
    <t>Journalists</t>
  </si>
  <si>
    <t>12 slides + fact sheet</t>
  </si>
  <si>
    <t>M01 M02 M07 M13</t>
  </si>
  <si>
    <t>A3-1</t>
  </si>
  <si>
    <t>School counsellor / coaching centre</t>
  </si>
  <si>
    <t>D-21</t>
  </si>
  <si>
    <t>Partnership deck</t>
  </si>
  <si>
    <t>Immersion hosts, corporate curriculum partners</t>
  </si>
  <si>
    <t>I5 Transact</t>
  </si>
  <si>
    <t>M02 &gt; M04 &gt; M07 &gt; M10 &gt; M14</t>
  </si>
  <si>
    <t>M02 M03 M04 M09 M14</t>
  </si>
  <si>
    <t>D-22</t>
  </si>
  <si>
    <t>A3-2</t>
  </si>
  <si>
    <t>International university partnership deck</t>
  </si>
  <si>
    <t>Education consultant — partnership pitch</t>
  </si>
  <si>
    <t>Peer institutions abroad</t>
  </si>
  <si>
    <t>M02 M03 M04 M08 M14</t>
  </si>
  <si>
    <t>M02 &gt; M07 &gt; M10 &gt; M11 &gt; M14</t>
  </si>
  <si>
    <t>D-23</t>
  </si>
  <si>
    <t>Counsellor / consultant deck</t>
  </si>
  <si>
    <t>Schools, coaching centres, consultants</t>
  </si>
  <si>
    <t>M02 M04 M07 M10 M14</t>
  </si>
  <si>
    <t>D-24</t>
  </si>
  <si>
    <t>A4-1</t>
  </si>
  <si>
    <t>Donor deck</t>
  </si>
  <si>
    <t>Philanthropists, endowment</t>
  </si>
  <si>
    <t>Final-year undergrad / 21–24 (PG)</t>
  </si>
  <si>
    <t>M01 M02 M06 M12 M14</t>
  </si>
  <si>
    <t>M04 &gt; M07 &gt; M05 &gt; M14</t>
  </si>
  <si>
    <t>A4-2</t>
  </si>
  <si>
    <t>M01 &gt; M04 &gt; M05 &gt; M07 &gt; M11 &gt; M14</t>
  </si>
  <si>
    <t>A5-1</t>
  </si>
  <si>
    <t>Working professional, 24–30 (PG switch)</t>
  </si>
  <si>
    <t>A5-2</t>
  </si>
  <si>
    <t>Working professional, 24–30 — ROI-led</t>
  </si>
  <si>
    <t>M07 &gt; M05 &gt; M13 &gt; M04 &gt; M14</t>
  </si>
  <si>
    <t>A6-1</t>
  </si>
  <si>
    <t>Parent or spouse of PG aspirant</t>
  </si>
  <si>
    <t>M02 &gt; M07 &gt; M13 &gt; M14</t>
  </si>
  <si>
    <t>A7-1</t>
  </si>
  <si>
    <t>Mid-career executive, 30–45</t>
  </si>
  <si>
    <t>Job the video does</t>
  </si>
  <si>
    <t>M04 &gt; M08 &gt; M07 &gt; M14</t>
  </si>
  <si>
    <t>Videos in this job</t>
  </si>
  <si>
    <t>Exec Ed</t>
  </si>
  <si>
    <t>Existing / to shoot</t>
  </si>
  <si>
    <t>Cutdowns needed</t>
  </si>
  <si>
    <t>A7-2</t>
  </si>
  <si>
    <t>Mid-career executive — weekends objection</t>
  </si>
  <si>
    <t>M13 &gt; M04 &gt; M08 &gt; M05 &gt; M14</t>
  </si>
  <si>
    <t>V-01</t>
  </si>
  <si>
    <t>Institutional identity</t>
  </si>
  <si>
    <t>MU Brand Film</t>
  </si>
  <si>
    <t>Existing — 3 min</t>
  </si>
  <si>
    <t>A7-3</t>
  </si>
  <si>
    <t>3 min / 60s / 30s / 15s</t>
  </si>
  <si>
    <t>Mid-career executive — full pitch</t>
  </si>
  <si>
    <t>Exists</t>
  </si>
  <si>
    <t>M02 &gt; M08 &gt; M04 &gt; M05 &gt; M07 &gt; M14</t>
  </si>
  <si>
    <t>V-02</t>
  </si>
  <si>
    <t>Place</t>
  </si>
  <si>
    <t>Campus Film, Food Lab Film, Makers Lab, PwC AI Lab, Bloomberg Lab</t>
  </si>
  <si>
    <t>A8-1</t>
  </si>
  <si>
    <t>Existing + to shoot</t>
  </si>
  <si>
    <t>Family business, 2nd/3rd gen promoter</t>
  </si>
  <si>
    <t>Full / 60s / per-lab 30s</t>
  </si>
  <si>
    <t>Partial</t>
  </si>
  <si>
    <t>V-03</t>
  </si>
  <si>
    <t>M04 &gt; M08 &gt; M11 &gt; M14</t>
  </si>
  <si>
    <t>Model — how learning works</t>
  </si>
  <si>
    <t>Inclass / Outclass / Immersions explainer</t>
  </si>
  <si>
    <t>To shoot</t>
  </si>
  <si>
    <t>2 min / 60s</t>
  </si>
  <si>
    <t>Gap</t>
  </si>
  <si>
    <t>A8-2</t>
  </si>
  <si>
    <t>V-04</t>
  </si>
  <si>
    <t>Family business — private, low-hype register</t>
  </si>
  <si>
    <t>Model — each Outclass challenge</t>
  </si>
  <si>
    <t>Dropshipping, Creator Challenge, Food Lab, Makers Lab, VIP</t>
  </si>
  <si>
    <t>Existing (Dropshipping, Creator) + gaps</t>
  </si>
  <si>
    <t>3 min / 60s each</t>
  </si>
  <si>
    <t>V-05</t>
  </si>
  <si>
    <t>M01 &gt; M08 &gt; M04 &gt; M06 &gt; M12 &gt; M14</t>
  </si>
  <si>
    <t>People proof — alumni</t>
  </si>
  <si>
    <t>Alumni then/now films — one per named alumnus in M05</t>
  </si>
  <si>
    <t>90s / 30s each</t>
  </si>
  <si>
    <t>A9-1</t>
  </si>
  <si>
    <t>PGP Bharat aspirant</t>
  </si>
  <si>
    <t>V-06</t>
  </si>
  <si>
    <t>People proof — founders</t>
  </si>
  <si>
    <t>M01 &gt; M04 &gt; M06 &gt; M14</t>
  </si>
  <si>
    <t>Entrepreneurship Film, founder profiles</t>
  </si>
  <si>
    <t>3 min / 60s</t>
  </si>
  <si>
    <t>A9-2</t>
  </si>
  <si>
    <t>V-07</t>
  </si>
  <si>
    <t>PGP Bharat aspirant — parent version</t>
  </si>
  <si>
    <t>People proof — recruiters</t>
  </si>
  <si>
    <t>Recruiter testimonial films (Meta, DP World, IndusInd)</t>
  </si>
  <si>
    <t>60s / 30s each</t>
  </si>
  <si>
    <t>V-08</t>
  </si>
  <si>
    <t>A10-1</t>
  </si>
  <si>
    <t>People proof — parents</t>
  </si>
  <si>
    <t>International / NRI applicant</t>
  </si>
  <si>
    <t>Parent testimonial films</t>
  </si>
  <si>
    <t>90s / 30s</t>
  </si>
  <si>
    <t>M02 &gt; M01 &gt; M04 &gt; M07 &gt; M09 &gt; M14</t>
  </si>
  <si>
    <t>V-09</t>
  </si>
  <si>
    <t>Placement outcomes film with methodology on screen</t>
  </si>
  <si>
    <t>A11-1</t>
  </si>
  <si>
    <t>Current student — how to tell your own story</t>
  </si>
  <si>
    <t>I4 Recruit</t>
  </si>
  <si>
    <t>V-10</t>
  </si>
  <si>
    <t>Faculty profile films — practitioner and academic</t>
  </si>
  <si>
    <t>A12-1</t>
  </si>
  <si>
    <t>90s each</t>
  </si>
  <si>
    <t>Rejected or waitlisted applicant</t>
  </si>
  <si>
    <t>What the photo has to prove</t>
  </si>
  <si>
    <t>Shots in this category</t>
  </si>
  <si>
    <t>V-11</t>
  </si>
  <si>
    <t>I6 Represent</t>
  </si>
  <si>
    <t>M02 &gt; M13 &gt; M14</t>
  </si>
  <si>
    <t>Programme films — one per door</t>
  </si>
  <si>
    <t>UG, PG, Exec, Family Business, Immersions</t>
  </si>
  <si>
    <t>Existing (UG PSM, UG F&amp;E, PGP Bharat, MU Tech) + gaps</t>
  </si>
  <si>
    <t>B1-1</t>
  </si>
  <si>
    <t>2 min / 60s each</t>
  </si>
  <si>
    <t>Academic faculty candidate (PhD)</t>
  </si>
  <si>
    <t>P-01</t>
  </si>
  <si>
    <t>B Talent</t>
  </si>
  <si>
    <t>This is a real place</t>
  </si>
  <si>
    <t>Campus exteriors, DLF Cyberpark context, classrooms, auditorium, library, cafeteria, co-working, pitching zone</t>
  </si>
  <si>
    <t>V-12</t>
  </si>
  <si>
    <t>Existing — Campus Photos</t>
  </si>
  <si>
    <t>M01 &gt; M02 &gt; M03 &gt; M08 &gt; M09 &gt; M14</t>
  </si>
  <si>
    <t>Demo Day Film, MU Ventures film, Shark Tank cutdowns</t>
  </si>
  <si>
    <t>P-02</t>
  </si>
  <si>
    <t>B2-1</t>
  </si>
  <si>
    <t>Practitioner / CXO teaching candidate</t>
  </si>
  <si>
    <t>The facilities are specific, not generic</t>
  </si>
  <si>
    <t>Makers Lab machines, PwC AI Lab NVIDIA units, Bloomberg terminals, Food Lab kitchen — equipment-level detail</t>
  </si>
  <si>
    <t>V-13</t>
  </si>
  <si>
    <t>M01 &gt; M03 &gt; M08 &gt; M14</t>
  </si>
  <si>
    <t>P-03</t>
  </si>
  <si>
    <t>Immersions and off-campus</t>
  </si>
  <si>
    <t>Real people, consistently treated</t>
  </si>
  <si>
    <t>Offcampus Sitaram, Payal Polyplast, Moradabad, POV Zomato, HSSL</t>
  </si>
  <si>
    <t>Alumni headshots (all named in M05, same crop and treatment), faculty portraits, leadership portraits</t>
  </si>
  <si>
    <t>Existing</t>
  </si>
  <si>
    <t>To shoot — highest priority shoot</t>
  </si>
  <si>
    <t>B2-2</t>
  </si>
  <si>
    <t>Full / 60s / 30s</t>
  </si>
  <si>
    <t>Practitioner / CXO — full ask</t>
  </si>
  <si>
    <t>P-04</t>
  </si>
  <si>
    <t>Students actually doing the work</t>
  </si>
  <si>
    <t>Packing dropship orders, pitching to a client, on a factory floor, filming content, cooking in Food Lab, on a trading screen</t>
  </si>
  <si>
    <t>M01 &gt; M03 &gt; M04 &gt; M08 &gt; M12 &gt; M14</t>
  </si>
  <si>
    <t>Existing (Dropshipping, Creator Challenge) + gaps</t>
  </si>
  <si>
    <t>V-14</t>
  </si>
  <si>
    <t>B3-1</t>
  </si>
  <si>
    <t>P-05</t>
  </si>
  <si>
    <t>Student life, Unmute, clubs, case competitions, convocation</t>
  </si>
  <si>
    <t>International visiting faculty</t>
  </si>
  <si>
    <t>Serious people take this seriously</t>
  </si>
  <si>
    <t>CXO Photos, Politicians on Campus, Creators on Campus</t>
  </si>
  <si>
    <t>M02 &gt; M03 &gt; M08 &gt; M09 &gt; M14</t>
  </si>
  <si>
    <t>P-06</t>
  </si>
  <si>
    <t>Moments that only happen here</t>
  </si>
  <si>
    <t>V-15</t>
  </si>
  <si>
    <t>Demo Day, Shark Tank, Convocation 2022–2025, Unmute, case competitions</t>
  </si>
  <si>
    <t>B4-1</t>
  </si>
  <si>
    <t>The honest film</t>
  </si>
  <si>
    <t>Senior leadership hire</t>
  </si>
  <si>
    <t>What we are not — recognition position, the criticism, the answer</t>
  </si>
  <si>
    <t>P-07</t>
  </si>
  <si>
    <t>The products are real</t>
  </si>
  <si>
    <t>2 min</t>
  </si>
  <si>
    <t>Student venture product photography — EIGHT, JustMyRoots, Bullspree, Khet, Zenmo, Beyond Veda</t>
  </si>
  <si>
    <t>M01 &gt; M02 &gt; M11 &gt; M13 &gt; M14</t>
  </si>
  <si>
    <t>V-16</t>
  </si>
  <si>
    <t>P-08</t>
  </si>
  <si>
    <t>This is a place people want to be</t>
  </si>
  <si>
    <t>Utility</t>
  </si>
  <si>
    <t>People</t>
  </si>
  <si>
    <t>Clubs, fraternities, festivities, sport, informal campus life</t>
  </si>
  <si>
    <t>Existing + gaps</t>
  </si>
  <si>
    <t>How to apply, fees and scholarships, admissions process, campus tour</t>
  </si>
  <si>
    <t>B5-1</t>
  </si>
  <si>
    <t>P-09</t>
  </si>
  <si>
    <t>Junior / mid employee candidate</t>
  </si>
  <si>
    <t>60s each</t>
  </si>
  <si>
    <t>Immersions happened</t>
  </si>
  <si>
    <t>Payal Polyplast, Samsara Spirits, Eggoz, factory visits, off-campus</t>
  </si>
  <si>
    <t>V-17</t>
  </si>
  <si>
    <t>P-10</t>
  </si>
  <si>
    <t>Founder / leadership POV</t>
  </si>
  <si>
    <t>Utility and library</t>
  </si>
  <si>
    <t>Cutouts, logos, backgrounds, texture, brand scribble assets, deck-ready crops</t>
  </si>
  <si>
    <t>Founder on why this exists; leadership on where it goes</t>
  </si>
  <si>
    <t>To produce</t>
  </si>
  <si>
    <t>M01 &gt; M04 &gt; M12 &gt; M14</t>
  </si>
  <si>
    <t>B6-1</t>
  </si>
  <si>
    <t>New joiner — Day 1 induction</t>
  </si>
  <si>
    <t>V-18</t>
  </si>
  <si>
    <t>Performance ads</t>
  </si>
  <si>
    <t>Programme-level performance creative — see separate ads workstream</t>
  </si>
  <si>
    <t>M01 &gt; M02 &gt; M03 &gt; M04 &gt; M05 &gt; M06 &gt; M07 &gt; M08 &gt; M13 &gt; M14</t>
  </si>
  <si>
    <t>Ongoing</t>
  </si>
  <si>
    <t>Brand + People</t>
  </si>
  <si>
    <t>6s / 15s / 30s / 60s</t>
  </si>
  <si>
    <t>B7-1</t>
  </si>
  <si>
    <t>In flight</t>
  </si>
  <si>
    <t>Existing employee — the internal canon</t>
  </si>
  <si>
    <t>B7-2</t>
  </si>
  <si>
    <t>Team lead briefing their own team</t>
  </si>
  <si>
    <t>Full canon, delivery notes attached</t>
  </si>
  <si>
    <t>C1-1</t>
  </si>
  <si>
    <t>Institutional investor / VC</t>
  </si>
  <si>
    <t>C Capital</t>
  </si>
  <si>
    <t>M01 &gt; M02 &gt; M07 &gt; M11 &gt; M06 &gt; M13 &gt; M14</t>
  </si>
  <si>
    <t>Founder's Office</t>
  </si>
  <si>
    <t>C1-2</t>
  </si>
  <si>
    <t>Institutional investor — 2 min teaser</t>
  </si>
  <si>
    <t>M02 &gt; M07 &gt; M11 &gt; M14</t>
  </si>
  <si>
    <t>C2-1</t>
  </si>
  <si>
    <t>Lender / bank / debt partner</t>
  </si>
  <si>
    <t>M02 &gt; M07 &gt; M09 &gt; M14</t>
  </si>
  <si>
    <t>Finance</t>
  </si>
  <si>
    <t>C3-1</t>
  </si>
  <si>
    <t>Donor / philanthropist</t>
  </si>
  <si>
    <t>M01 &gt; M02 &gt; M06 &gt; M12 &gt; M14</t>
  </si>
  <si>
    <t>C4-1</t>
  </si>
  <si>
    <t>Co-investor in MU Ventures funds</t>
  </si>
  <si>
    <t>M11 &gt; M06 &gt; M04 &gt; M14</t>
  </si>
  <si>
    <t>D1-1</t>
  </si>
  <si>
    <t>Recruiter — first call</t>
  </si>
  <si>
    <t>D Commercial</t>
  </si>
  <si>
    <t>Careers</t>
  </si>
  <si>
    <t>D1-2</t>
  </si>
  <si>
    <t>Recruiter — full pitch</t>
  </si>
  <si>
    <t>M02 &gt; M04 &gt; M08 &gt; M05 &gt; M07 &gt; M14</t>
  </si>
  <si>
    <t>What it verifies</t>
  </si>
  <si>
    <t>Report</t>
  </si>
  <si>
    <t>Cadence</t>
  </si>
  <si>
    <t>D1-3</t>
  </si>
  <si>
    <t>Recruiter — 'why not an IIM' objection</t>
  </si>
  <si>
    <t>R-01</t>
  </si>
  <si>
    <t>M13 &gt; M04 &gt; M05 &gt; M07 &gt; M14</t>
  </si>
  <si>
    <t>Outcomes</t>
  </si>
  <si>
    <t>Placement Report 2021 through 2026</t>
  </si>
  <si>
    <t>Parents, applicants, press, recruiters, regulators</t>
  </si>
  <si>
    <t>Annual</t>
  </si>
  <si>
    <t>Exists to 2025</t>
  </si>
  <si>
    <t>D2-1</t>
  </si>
  <si>
    <t>Enterprise L&amp;D buyer</t>
  </si>
  <si>
    <t>R-02</t>
  </si>
  <si>
    <t>Outcomes — methodology</t>
  </si>
  <si>
    <t>Careers Report, audited, IPRS Rev 2.2</t>
  </si>
  <si>
    <t>Sceptics, press, regulators</t>
  </si>
  <si>
    <t>M03 &gt; M08 &gt; M04 &gt; M14</t>
  </si>
  <si>
    <t>Enterprise</t>
  </si>
  <si>
    <t>R-03</t>
  </si>
  <si>
    <t>Outcomes — web version</t>
  </si>
  <si>
    <t>Placement report as a web page, methodology first</t>
  </si>
  <si>
    <t>Anyone who will not open a 96-page PDF</t>
  </si>
  <si>
    <t>D3-1</t>
  </si>
  <si>
    <t>Immersion / factory / operator host</t>
  </si>
  <si>
    <t>R-04</t>
  </si>
  <si>
    <t>Entrepreneurship Report 2020–2026</t>
  </si>
  <si>
    <t>Applicants, investors, press</t>
  </si>
  <si>
    <t>M03 &gt; M04 &gt; M14</t>
  </si>
  <si>
    <t>Exists — see tab 08</t>
  </si>
  <si>
    <t>R-05</t>
  </si>
  <si>
    <t>Ventures — register</t>
  </si>
  <si>
    <t>D4-1</t>
  </si>
  <si>
    <t>MU Ventures Report, including closed ventures</t>
  </si>
  <si>
    <t>Corporate curriculum partner</t>
  </si>
  <si>
    <t>Investors, press, applicants</t>
  </si>
  <si>
    <t>R-06</t>
  </si>
  <si>
    <t>Ventures — fund</t>
  </si>
  <si>
    <t>MUIF Report</t>
  </si>
  <si>
    <t>LPs, co-investors</t>
  </si>
  <si>
    <t>R-07</t>
  </si>
  <si>
    <t>D5-1</t>
  </si>
  <si>
    <t>Outclass outcomes</t>
  </si>
  <si>
    <t>Creator / brand partner</t>
  </si>
  <si>
    <t>Dropshipping Report UG and PG</t>
  </si>
  <si>
    <t>Applicants, parents, press</t>
  </si>
  <si>
    <t>R-08</t>
  </si>
  <si>
    <t>Programme documentation</t>
  </si>
  <si>
    <t>Prospectus 2026</t>
  </si>
  <si>
    <t>All demand-side audiences</t>
  </si>
  <si>
    <t>D6-1</t>
  </si>
  <si>
    <t>R-09</t>
  </si>
  <si>
    <t>Vendor / supplier / campus contractor</t>
  </si>
  <si>
    <t>PGP Bharat Brochure and per-programme brochures</t>
  </si>
  <si>
    <t>Programme-specific applicants</t>
  </si>
  <si>
    <t>R-10</t>
  </si>
  <si>
    <t>M01 &gt; M02</t>
  </si>
  <si>
    <t>Brand Deck</t>
  </si>
  <si>
    <t>Ops</t>
  </si>
  <si>
    <t>Internal, partners, press</t>
  </si>
  <si>
    <t>On change</t>
  </si>
  <si>
    <t>E1-1</t>
  </si>
  <si>
    <t>R-11</t>
  </si>
  <si>
    <t>Government / regulator</t>
  </si>
  <si>
    <t>Institutional performance</t>
  </si>
  <si>
    <t>Annual Institutional Review</t>
  </si>
  <si>
    <t>E Institutional</t>
  </si>
  <si>
    <t>Board, government, accreditors</t>
  </si>
  <si>
    <t>R-12</t>
  </si>
  <si>
    <t>M02 &gt; M01 &gt; M03 &gt; M07 &gt; M09 &gt; M12 &gt; M14</t>
  </si>
  <si>
    <t>Institutional recognition</t>
  </si>
  <si>
    <t>Accreditation self-study documents</t>
  </si>
  <si>
    <t>AACSB, EFMD, BGA</t>
  </si>
  <si>
    <t>Per cycle</t>
  </si>
  <si>
    <t>E1-2</t>
  </si>
  <si>
    <t>In progress</t>
  </si>
  <si>
    <t>Government — short institutional summary</t>
  </si>
  <si>
    <t>R-13</t>
  </si>
  <si>
    <t>The honest document</t>
  </si>
  <si>
    <t>What you actually receive — recognition position</t>
  </si>
  <si>
    <t>Parents, applicants, press</t>
  </si>
  <si>
    <t>M02 &gt; M07 &gt; M06 &gt; M14</t>
  </si>
  <si>
    <t>R-14</t>
  </si>
  <si>
    <t>Sector thought leadership</t>
  </si>
  <si>
    <t>Research and whitepapers</t>
  </si>
  <si>
    <t>Press, peers, policy</t>
  </si>
  <si>
    <t>Quarterly</t>
  </si>
  <si>
    <t>E2-1</t>
  </si>
  <si>
    <t>Accreditation body (AACSB / EFMD / BGA)</t>
  </si>
  <si>
    <t>R-15</t>
  </si>
  <si>
    <t>Fact sheet</t>
  </si>
  <si>
    <t>One-page numbers sheet, sourced, dated</t>
  </si>
  <si>
    <t>Every employee, press</t>
  </si>
  <si>
    <t>M02 &gt; M03 &gt; M08 &gt; M07 &gt; M09 &gt; M14</t>
  </si>
  <si>
    <t>E3-1</t>
  </si>
  <si>
    <t>Ranking agency</t>
  </si>
  <si>
    <t>M02 &gt; M07 &gt; M08 &gt; M06 &gt; M14</t>
  </si>
  <si>
    <t>E4-1</t>
  </si>
  <si>
    <t>Peer / international university partner</t>
  </si>
  <si>
    <t>M02 &gt; M03 &gt; M04 &gt; M08 &gt; M14</t>
  </si>
  <si>
    <t>E5-1</t>
  </si>
  <si>
    <t>Auditor / assurance provider</t>
  </si>
  <si>
    <t>M02 &gt; M07 &gt; M14</t>
  </si>
  <si>
    <t>F1-1</t>
  </si>
  <si>
    <t>Journalist — friendly / feature</t>
  </si>
  <si>
    <t>F Public</t>
  </si>
  <si>
    <t>CH7 Camera</t>
  </si>
  <si>
    <t>M01 &gt; M04 &gt; M06 &gt; M05 &gt; M14</t>
  </si>
  <si>
    <t>F2-1</t>
  </si>
  <si>
    <t>Journalist — adversarial</t>
  </si>
  <si>
    <t>M13 &gt; M07 &gt; M02 &gt; M05 &gt; M14</t>
  </si>
  <si>
    <t>F2-2</t>
  </si>
  <si>
    <t>Journalist — adversarial, holding statement</t>
  </si>
  <si>
    <t>M13 &gt; M02</t>
  </si>
  <si>
    <t>F3-1</t>
  </si>
  <si>
    <t>Creator / podcaster</t>
  </si>
  <si>
    <t>M01 &gt; M03 &gt; M04 &gt; M06 &gt; M12 &gt; M13 &gt; M14</t>
  </si>
  <si>
    <t>F4-1</t>
  </si>
  <si>
    <t>Alumni — how to describe your own school</t>
  </si>
  <si>
    <t>Alumni</t>
  </si>
  <si>
    <t>F5-1</t>
  </si>
  <si>
    <t>General public / social audience</t>
  </si>
  <si>
    <t>Totals</t>
  </si>
  <si>
    <t>Total</t>
  </si>
  <si>
    <t>Fact</t>
  </si>
  <si>
    <t>#</t>
  </si>
  <si>
    <t>Stated value</t>
  </si>
  <si>
    <t>The question, as actually asked</t>
  </si>
  <si>
    <t>Source</t>
  </si>
  <si>
    <t>Who asks it</t>
  </si>
  <si>
    <t>The move</t>
  </si>
  <si>
    <t>Note</t>
  </si>
  <si>
    <t>Agreed answer — to be locked</t>
  </si>
  <si>
    <t>Founded</t>
  </si>
  <si>
    <t>2020</t>
  </si>
  <si>
    <t>Prospectus p16</t>
  </si>
  <si>
    <t>Verified</t>
  </si>
  <si>
    <t>Is this a real degree?</t>
  </si>
  <si>
    <t>Parents, PG aspirants, press</t>
  </si>
  <si>
    <t>Answer flat, in one sentence, and stop talking</t>
  </si>
  <si>
    <t>Students then / now</t>
  </si>
  <si>
    <t>60 in 2020 to 2,500+ in 2026</t>
  </si>
  <si>
    <t>Masters' Union University. The bill has been passed by the Government of Haryana. Exact permitted wording to be issued by Legal — LOCKED line, never improvised.</t>
  </si>
  <si>
    <t>Confirm the 2026 figure against current enrolment</t>
  </si>
  <si>
    <t>So what were you before? A certificate shop?</t>
  </si>
  <si>
    <t>Press, sceptics, forums</t>
  </si>
  <si>
    <t>Employees</t>
  </si>
  <si>
    <t>Do not get defensive. State the sequence as a fact.</t>
  </si>
  <si>
    <t>Needs a written, legally reviewed line covering the path from certification to university status. This is the question the bill creates and it will be asked constantly. Write it before anything else.</t>
  </si>
  <si>
    <t>My son joined last year. Does he get a degree or a certificate?</t>
  </si>
  <si>
    <t>Current students, their parents</t>
  </si>
  <si>
    <t>Do not guess. Route, do not answer, until the Registrar has issued the position.</t>
  </si>
  <si>
    <t>BLOCKING — needs Registrar sign-off on which cohort the degree applies from. Until it exists, the instruction to all 1,500 employees is: do not answer this, route it to Admissions. A kind wrong answer here is a legal problem.</t>
  </si>
  <si>
    <t>1,500</t>
  </si>
  <si>
    <t>Stated by Brand Director</t>
  </si>
  <si>
    <t>Needs source</t>
  </si>
  <si>
    <t>I graduated in 2024. Is my qualification worth less now?</t>
  </si>
  <si>
    <t>Acknowledge the question is fair, then give the agreed position</t>
  </si>
  <si>
    <t>Not in any published document. Needs a People sign-off before it goes into a script.</t>
  </si>
  <si>
    <t>University status</t>
  </si>
  <si>
    <t>BLOCKING — needs Registrar and Legal. Alumni will ask within days of the announcement. Silence on this will be read as an answer.</t>
  </si>
  <si>
    <t>Masters' Union University — bill passed by the Government of Haryana</t>
  </si>
  <si>
    <t>Haryana state legislation</t>
  </si>
  <si>
    <t>VERIFIED</t>
  </si>
  <si>
    <t>Confirmed by Brand. Supersedes the Homepage Brief's Letter of Intent language (2 Sept 2026). Every existing asset carrying the certification disclosure must be pulled or updated.</t>
  </si>
  <si>
    <t>Your average package looks inflated.</t>
  </si>
  <si>
    <t>Legal entity name</t>
  </si>
  <si>
    <t>Parents, press, sceptics</t>
  </si>
  <si>
    <t>To confirm — exact name as it appears in the Act</t>
  </si>
  <si>
    <t>Haryana Act</t>
  </si>
  <si>
    <t>Volunteer the median before they ask for it</t>
  </si>
  <si>
    <t>NEEDS SOURCE</t>
  </si>
  <si>
    <t>The name in the legislation and the name used in market may differ. Get the gazetted wording from Legal. Every regulatory, accreditation and government script must use the legal name verbatim.</t>
  </si>
  <si>
    <t>Average ₹33.39 LPA, median ₹27.78 LPA, top quartile ₹54.80, bottom quartile ₹22.75. Audited by Brickwork Ratings, the same firm that audits IIM Ahmedabad's report, to IPRS Rev 2.2. Here is what we exclude from CTC that some schools include.</t>
  </si>
  <si>
    <t>Naming rule in market</t>
  </si>
  <si>
    <t>To decide — 'Masters' Union' or 'Masters' Union University'</t>
  </si>
  <si>
    <t>Brand decision</t>
  </si>
  <si>
    <t>NEEDS DECISION</t>
  </si>
  <si>
    <t>Affects all 63 scripts, 24 decks, every signature, hoarding and ad. Decide once, publish to the brand guidelines the same day. Brand rule that the name is never abbreviated still holds.</t>
  </si>
  <si>
    <t>Degree effective from</t>
  </si>
  <si>
    <t>To confirm — which cohort receives a degree</t>
  </si>
  <si>
    <t>The Ken said half your batch was unplaced.</t>
  </si>
  <si>
    <t>Registrar / Academics</t>
  </si>
  <si>
    <t>Press, parents, sceptics</t>
  </si>
  <si>
    <t>Acknowledge, do not deflect, then move to what is checkable now</t>
  </si>
  <si>
    <t>The single most-asked question from current students and their parents in the next fortnight. Nobody improvises this.</t>
  </si>
  <si>
    <t>Needs a written, legally reviewed position. Do not let 1,500 people improvise this one.</t>
  </si>
  <si>
    <t>Position on prior cohorts</t>
  </si>
  <si>
    <t>To confirm — what alumni who received a certification are told</t>
  </si>
  <si>
    <t>Registrar / Legal</t>
  </si>
  <si>
    <t>People compare you to IIPM.</t>
  </si>
  <si>
    <t>Alumni will ask within days. A wrong answer given kindly by a well-meaning employee is a legal problem.</t>
  </si>
  <si>
    <t>Do not repeat the comparison. Answer with the audit and the names.</t>
  </si>
  <si>
    <t>Youngest institution to university status</t>
  </si>
  <si>
    <t>4.5 years</t>
  </si>
  <si>
    <t>Point to the audit, the named alumni with public LinkedIn trails, and the accreditation memberships. Never say the name back.</t>
  </si>
  <si>
    <t>Brand Deck p88</t>
  </si>
  <si>
    <t>Superlative. Will be fact-checked the moment it is used. Needs a citable basis or it breaches the no-untestable-claims rule.</t>
  </si>
  <si>
    <t>Average CTC, Cohort 2025</t>
  </si>
  <si>
    <t>Aren't your recruiters mostly unknown startups?</t>
  </si>
  <si>
    <t>₹33.39 LPA</t>
  </si>
  <si>
    <t>Careers Report 2025, Brickwork audited</t>
  </si>
  <si>
    <t>Recruiters, parents, press</t>
  </si>
  <si>
    <t>Never state without the median beside it.</t>
  </si>
  <si>
    <t>Name the ones they know, then defend the ones they don't</t>
  </si>
  <si>
    <t>Median CTC, Cohort 2025</t>
  </si>
  <si>
    <t>₹27.78 LPA</t>
  </si>
  <si>
    <t>Meta, BCG, DP World, Bloomberg, American Express, Reliance, Larsen &amp; Toubro, Careem — all in the Cohort of 2025. Then: a startup offer at 26 is a career, not a consolation.</t>
  </si>
  <si>
    <t>Careers Report 2025</t>
  </si>
  <si>
    <t>Same type size as the average. Always.</t>
  </si>
  <si>
    <t>Top quartile / bottom quartile</t>
  </si>
  <si>
    <t>₹54.80 LPA / ₹22.75 LPA</t>
  </si>
  <si>
    <t>Do your alumni stay in their jobs?</t>
  </si>
  <si>
    <t>Recruiters, parents</t>
  </si>
  <si>
    <t>Third-party voice, not first-party claim</t>
  </si>
  <si>
    <t>Highest CTC</t>
  </si>
  <si>
    <t>Recruiter quotes from Meta, IndusInd Bank and DP World describing named graduates in role. Permission required before use.</t>
  </si>
  <si>
    <t>₹1.28 crore</t>
  </si>
  <si>
    <t>₹40 lakh for four years is a lot.</t>
  </si>
  <si>
    <t>Average salary increase</t>
  </si>
  <si>
    <t>3.03x pre-MBA</t>
  </si>
  <si>
    <t>Parents</t>
  </si>
  <si>
    <t>Brand Deck p58</t>
  </si>
  <si>
    <t>Do not defend the price. Describe what is bought.</t>
  </si>
  <si>
    <t>Fee against what happens in each term, plus the outcome split, plus scholarships assessed on the same application. Numbers, not adjectives.</t>
  </si>
  <si>
    <t>Average international CTC</t>
  </si>
  <si>
    <t>Isn't this just an expensive bootcamp?</t>
  </si>
  <si>
    <t>₹64 LPA</t>
  </si>
  <si>
    <t>Parents, press</t>
  </si>
  <si>
    <t>Lead with the university status now — it did not exist as an answer last month</t>
  </si>
  <si>
    <t>Masters' Union University. Board of Governors, memberships, campus, 30 full-time PhD faculty, the audited placement report. All checkable in ten minutes.</t>
  </si>
  <si>
    <t>International placements</t>
  </si>
  <si>
    <t>30+</t>
  </si>
  <si>
    <t>Why should my child skip a known college for this?</t>
  </si>
  <si>
    <t>Do not attack the alternative</t>
  </si>
  <si>
    <t>Outcome split, Cohort 2025</t>
  </si>
  <si>
    <t>Describe what is different, name the outcome split, and state plainly who this is not for.</t>
  </si>
  <si>
    <t>74% institute / 5% independent / 17% entrepreneurship / 2% family business / 2% other</t>
  </si>
  <si>
    <t>Do students actually make money, or is that marketing?</t>
  </si>
  <si>
    <t>The 17% is the strongest number in the set and is currently underused.</t>
  </si>
  <si>
    <t>Audit</t>
  </si>
  <si>
    <t>Exact numbers, named ventures, checkable links</t>
  </si>
  <si>
    <t>Brickwork Ratings, IPRS Rev 2.2</t>
  </si>
  <si>
    <t>Same firm audits IIM Ahmedabad's report. Say this.</t>
  </si>
  <si>
    <t>Named ventures with exact figures and live websites. Never a rounded aggregate.</t>
  </si>
  <si>
    <t>Faculty mix</t>
  </si>
  <si>
    <t>40 practitioners / 30 full-time PhD / 30 visiting international</t>
  </si>
  <si>
    <t>Confirmed by Brand</t>
  </si>
  <si>
    <t>What happens to the students whose ventures fail?</t>
  </si>
  <si>
    <t>Resolves the Brand Deck vs Homepage Brief conflict. The Homepage Brief's 50/30/20 line is wrong and must be corrected before the agency sets it. Confirm the mapping is that way round with Academics.</t>
  </si>
  <si>
    <t>CXOs on campus</t>
  </si>
  <si>
    <t>Say it first</t>
  </si>
  <si>
    <t>250+</t>
  </si>
  <si>
    <t>Brand Deck p26</t>
  </si>
  <si>
    <t>Some ventures failed. The founders got sharper and usually got hired. This line buys more credibility than any success story on the page.</t>
  </si>
  <si>
    <t>Round aggregate</t>
  </si>
  <si>
    <t>Rung 4 on the proof ladder. Replace with named people wherever possible.</t>
  </si>
  <si>
    <t>Global professors taught</t>
  </si>
  <si>
    <t>50+</t>
  </si>
  <si>
    <t>Why should I work here / teach here?</t>
  </si>
  <si>
    <t>Talent, faculty</t>
  </si>
  <si>
    <t>Same.</t>
  </si>
  <si>
    <t>The institution, then the ambition</t>
  </si>
  <si>
    <t>Startups from VIP</t>
  </si>
  <si>
    <t>Module 02 plus Module 12 plus the ten-year ambition. Do not lead with growth numbers.</t>
  </si>
  <si>
    <t>200+ startups, ₹25 Cr raised, 100+ VCs</t>
  </si>
  <si>
    <t>Brand Deck p44</t>
  </si>
  <si>
    <t>CONFLICT</t>
  </si>
  <si>
    <t>Homepage Brief states 30+ companies in five years, ₹593 Cr valuation, ₹5.7 Cr grants, 14.7x. These describe different populations. Define the population before quoting either.</t>
  </si>
  <si>
    <t>Jobs created by ventures</t>
  </si>
  <si>
    <t>500 (foreword) vs 180+ (highlights)</t>
  </si>
  <si>
    <t>Entrepreneurship Report</t>
  </si>
  <si>
    <t>Flagged in the Homepage Brief and still open. Use the lower defensible figure or resolve.</t>
  </si>
  <si>
    <t>Revenue methodology</t>
  </si>
  <si>
    <t>ARR / annualised last-month / projected FY26 mixed</t>
  </si>
  <si>
    <t>Every venture figure must be labelled with which one it is, or dropped.</t>
  </si>
  <si>
    <t>Blue Brew figures</t>
  </si>
  <si>
    <t>Ambiguous — conflates valuation and capital raised</t>
  </si>
  <si>
    <t>DO NOT USE</t>
  </si>
  <si>
    <t>Flagged in the Homepage Brief. Excluded until verified.</t>
  </si>
  <si>
    <t>Dropshipping revenue</t>
  </si>
  <si>
    <t>55 teams, ₹2.11 crore, 6.44x ROAS (Cohort 2026)</t>
  </si>
  <si>
    <t>Homepage Brief S03</t>
  </si>
  <si>
    <t>Brand Deck states '5–50 lakhs per student in first semester' — different unit, both can be true. Do not blend.</t>
  </si>
  <si>
    <t>Immersions</t>
  </si>
  <si>
    <t>152 completed in 2025</t>
  </si>
  <si>
    <t>Brand Deck p53</t>
  </si>
  <si>
    <t>Creator Challenge</t>
  </si>
  <si>
    <t>100M+ followers across 280+ student channels</t>
  </si>
  <si>
    <t>Brand Deck p33</t>
  </si>
  <si>
    <t>Named creators with exact figures are stronger. Anurag Bansal 366K, Madhav Nangru 60.3K.</t>
  </si>
  <si>
    <t>Student-run fund</t>
  </si>
  <si>
    <t>₹5 crore</t>
  </si>
  <si>
    <t>Homepage Brief</t>
  </si>
  <si>
    <t>MU Ventures fund</t>
  </si>
  <si>
    <t>₹100 crore, backing founders under 25</t>
  </si>
  <si>
    <t>Brand Deck p50</t>
  </si>
  <si>
    <t>Press-covered. Cite the coverage.</t>
  </si>
  <si>
    <t>Shark Tank</t>
  </si>
  <si>
    <t>6 startups pitched, Seasons 1–5</t>
  </si>
  <si>
    <t>Brand Deck p18</t>
  </si>
  <si>
    <t>Named founders and seasons — strongest format available.</t>
  </si>
  <si>
    <t>Acceptance rate</t>
  </si>
  <si>
    <t>Under 10% on 3,000 applications (2022)</t>
  </si>
  <si>
    <t>About page</t>
  </si>
  <si>
    <t>Needs update</t>
  </si>
  <si>
    <t>Selectivity is the single most trusted number by a sceptical parent. Get the current-year figure.</t>
  </si>
  <si>
    <t>Accreditations / memberships</t>
  </si>
  <si>
    <t>EFMD, AACSB, BGA (Feb 2026), BSIS, NSDC</t>
  </si>
  <si>
    <t>Prospectus p12</t>
  </si>
  <si>
    <t>These are memberships and affiliations. Do not describe any of them as accreditation unless it is.</t>
  </si>
  <si>
    <t>Videos (YouTube)</t>
  </si>
  <si>
    <t>Videos (Drive)</t>
  </si>
  <si>
    <t>Photos</t>
  </si>
  <si>
    <t>Reports</t>
  </si>
  <si>
    <t>MU Brand Film in 3 mins</t>
  </si>
  <si>
    <t xml:space="preserve">Campus Photos </t>
  </si>
  <si>
    <r>
      <rPr>
        <color rgb="FF1155CC"/>
        <u/>
      </rPr>
      <t>Prospectus</t>
    </r>
    <r>
      <rPr>
        <color rgb="FF1F1F1F"/>
      </rPr>
      <t xml:space="preserve"> (Drive), </t>
    </r>
    <r>
      <rPr>
        <color rgb="FF1155CC"/>
        <u/>
      </rPr>
      <t>Prospectus (Figma)</t>
    </r>
  </si>
  <si>
    <t>Campus Film - full length</t>
  </si>
  <si>
    <t>Campus Film 3 min</t>
  </si>
  <si>
    <t>Shows MU campus space across CDS, Cyberpark, hostel</t>
  </si>
  <si>
    <t>Demo Day Photos</t>
  </si>
  <si>
    <r>
      <rPr>
        <color rgb="FF1155CC"/>
        <u/>
      </rPr>
      <t>Brand Deck</t>
    </r>
    <r>
      <rPr>
        <color rgb="FF1F1F1F"/>
      </rPr>
      <t xml:space="preserve"> (Figma), </t>
    </r>
    <r>
      <rPr>
        <color rgb="FF1155CC"/>
        <u/>
      </rPr>
      <t>Brand Deck (Drive)</t>
    </r>
    <r>
      <rPr/>
      <t xml:space="preserve">, </t>
    </r>
    <r>
      <rPr>
        <color rgb="FF1155CC"/>
        <u/>
      </rPr>
      <t>Brand Deck</t>
    </r>
    <r>
      <rPr/>
      <t xml:space="preserve"> (Google Slides)</t>
    </r>
  </si>
  <si>
    <t>Campus Film - 1 Min</t>
  </si>
  <si>
    <t>Campus Film 1 min</t>
  </si>
  <si>
    <t>Dropshipping Photos</t>
  </si>
  <si>
    <t>Entrepreneurship Report (2020-2025)</t>
  </si>
  <si>
    <t>Dropshipping UG film</t>
  </si>
  <si>
    <t>Creator Challenge Photos</t>
  </si>
  <si>
    <t>PGP TBM Placement Report 2021</t>
  </si>
  <si>
    <t>Creator Challenge Film</t>
  </si>
  <si>
    <t>CXO Photos</t>
  </si>
  <si>
    <t>PGP TBM Placement Report 2022</t>
  </si>
  <si>
    <t xml:space="preserve">Entrepreneurship Film </t>
  </si>
  <si>
    <t>Entrepreneurship Film</t>
  </si>
  <si>
    <t>Politicians on Campus Photos</t>
  </si>
  <si>
    <t>PGP TBM Placement Report 2023</t>
  </si>
  <si>
    <t xml:space="preserve">Demo Day Film </t>
  </si>
  <si>
    <t>Creators on Campus Photos</t>
  </si>
  <si>
    <t>PGP TBM Placement Report 2024</t>
  </si>
  <si>
    <t xml:space="preserve">HSSL Film </t>
  </si>
  <si>
    <t>HSSL Film</t>
  </si>
  <si>
    <t>Convocation 2022</t>
  </si>
  <si>
    <t>PGP TBM Placement Report 2025</t>
  </si>
  <si>
    <t>PGP Bharat Film</t>
  </si>
  <si>
    <t>Convocation 2023</t>
  </si>
  <si>
    <t>Placement Report 2026</t>
  </si>
  <si>
    <t xml:space="preserve">MU Tech School Film </t>
  </si>
  <si>
    <t>MU Tech School Film</t>
  </si>
  <si>
    <t>Convocation 2024</t>
  </si>
  <si>
    <t>Dropshipping Report PG 2025</t>
  </si>
  <si>
    <t xml:space="preserve">Food Lab Film </t>
  </si>
  <si>
    <t>Convocation 2025</t>
  </si>
  <si>
    <t>Dropshipping Report UG Batch of 2028</t>
  </si>
  <si>
    <t>UG PSM Brand FIlm</t>
  </si>
  <si>
    <t>Luminaries on Convocation</t>
  </si>
  <si>
    <t>Dropshipping Report UG Batch of 2029</t>
  </si>
  <si>
    <t xml:space="preserve">UG F&amp;E Brand Film </t>
  </si>
  <si>
    <t>MU Ventures Report</t>
  </si>
  <si>
    <t xml:space="preserve">Offcampus Sitaram </t>
  </si>
  <si>
    <t xml:space="preserve">MUIF x Sovernn Report </t>
  </si>
  <si>
    <t>Offcampus Payal Polyplast</t>
  </si>
  <si>
    <t xml:space="preserve">PGP Bharat Brochure </t>
  </si>
  <si>
    <t>Offcampus Moradabad</t>
  </si>
  <si>
    <t>Off-Campus Moradabad</t>
  </si>
  <si>
    <t>UG Outcomes Report 2026</t>
  </si>
  <si>
    <t>POV Zomato Video</t>
  </si>
  <si>
    <t>UG Entrepreneurship Report (2025-26)</t>
  </si>
  <si>
    <t>CXO/Guests on Campus Video (made by BeeBuzz)</t>
  </si>
  <si>
    <t>UG CCC Report (Class of 2028)</t>
  </si>
  <si>
    <t>BCD Trailer</t>
  </si>
  <si>
    <t>Case Competitions Report</t>
  </si>
  <si>
    <t>Drive to Thrive Cars 24 Trailer</t>
  </si>
  <si>
    <t>Haryana Private Universities Act (Amendment 2026)</t>
  </si>
  <si>
    <t>Varun Mayya AI Masterclass</t>
  </si>
  <si>
    <t>UG Prospectus</t>
  </si>
  <si>
    <t xml:space="preserve">UG Internship Film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</si>
</sst>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b/>
      <sz val="16.0"/>
      <color theme="1"/>
      <name val="Montserrat"/>
    </font>
    <font>
      <color theme="1"/>
      <name val="Arial"/>
      <scheme val="minor"/>
    </font>
    <font>
      <sz val="10.0"/>
      <color rgb="FF525252"/>
      <name val="Montserrat"/>
    </font>
    <font>
      <b/>
      <sz val="10.0"/>
      <color rgb="FFFFFFFF"/>
      <name val="Montserrat"/>
    </font>
    <font>
      <b/>
      <sz val="12.0"/>
      <color rgb="FFFFFFFF"/>
      <name val="Montserrat"/>
    </font>
    <font>
      <sz val="11.0"/>
      <color theme="1"/>
      <name val="Calibri"/>
    </font>
    <font>
      <b/>
      <sz val="9.0"/>
      <color theme="1"/>
      <name val="Montserrat"/>
    </font>
    <font>
      <sz val="9.0"/>
      <color theme="1"/>
      <name val="Montserrat"/>
    </font>
    <font>
      <b/>
      <sz val="10.0"/>
      <color theme="1"/>
      <name val="Montserrat"/>
    </font>
    <font/>
    <font>
      <u/>
      <color rgb="FF0000FF"/>
    </font>
    <font>
      <color rgb="FF0000FF"/>
    </font>
  </fonts>
  <fills count="6">
    <fill>
      <patternFill patternType="none"/>
    </fill>
    <fill>
      <patternFill patternType="lightGray"/>
    </fill>
    <fill>
      <patternFill patternType="solid">
        <fgColor rgb="FFA2C4C9"/>
        <bgColor rgb="FFA2C4C9"/>
      </patternFill>
    </fill>
    <fill>
      <patternFill patternType="solid">
        <fgColor rgb="FF171717"/>
        <bgColor rgb="FF171717"/>
      </patternFill>
    </fill>
    <fill>
      <patternFill patternType="solid">
        <fgColor rgb="FFFAFAFA"/>
        <bgColor rgb="FFFAFAFA"/>
      </patternFill>
    </fill>
    <fill>
      <patternFill patternType="solid">
        <fgColor rgb="FFF7D344"/>
        <bgColor rgb="FFF7D344"/>
      </patternFill>
    </fill>
  </fills>
  <borders count="9">
    <border/>
    <border>
      <left/>
      <right/>
      <top/>
      <bottom/>
    </border>
    <border>
      <left/>
      <right/>
      <top/>
      <bottom style="thin">
        <color rgb="FFE5E5E5"/>
      </bottom>
    </border>
    <border>
      <bottom style="thin">
        <color rgb="FFE5E5E5"/>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shrinkToFit="0" vertical="bottom" wrapText="0"/>
    </xf>
    <xf borderId="0" fillId="0" fontId="3" numFmtId="0" xfId="0" applyAlignment="1" applyFont="1">
      <alignment readingOrder="0"/>
    </xf>
    <xf borderId="0" fillId="0" fontId="4" numFmtId="0" xfId="0" applyAlignment="1" applyFont="1">
      <alignment shrinkToFit="0" vertical="bottom" wrapText="0"/>
    </xf>
    <xf borderId="1" fillId="3" fontId="5" numFmtId="0" xfId="0" applyAlignment="1" applyBorder="1" applyFill="1" applyFont="1">
      <alignment shrinkToFit="0" vertical="center" wrapText="1"/>
    </xf>
    <xf borderId="1" fillId="3" fontId="6" numFmtId="0" xfId="0" applyAlignment="1" applyBorder="1" applyFill="1" applyFont="1">
      <alignment shrinkToFit="0" vertical="bottom" wrapText="0"/>
    </xf>
    <xf borderId="1" fillId="3" fontId="7" numFmtId="0" xfId="0" applyAlignment="1" applyBorder="1" applyFill="1" applyFont="1">
      <alignment shrinkToFit="0" vertical="bottom" wrapText="0"/>
    </xf>
    <xf borderId="0" fillId="0" fontId="8" numFmtId="0" xfId="0" applyAlignment="1" applyFont="1">
      <alignment shrinkToFit="0" vertical="top" wrapText="1"/>
    </xf>
    <xf borderId="0" fillId="0" fontId="9" numFmtId="0" xfId="0" applyAlignment="1" applyFont="1">
      <alignment shrinkToFit="0" vertical="top" wrapText="1"/>
    </xf>
    <xf borderId="2" fillId="4" fontId="9" numFmtId="0" xfId="0" applyAlignment="1" applyBorder="1" applyFill="1" applyFont="1">
      <alignment shrinkToFit="0" vertical="top" wrapText="1"/>
    </xf>
    <xf borderId="3" fillId="0" fontId="9" numFmtId="0" xfId="0" applyAlignment="1" applyBorder="1" applyFont="1">
      <alignment shrinkToFit="0" vertical="top" wrapText="1"/>
    </xf>
    <xf borderId="1" fillId="3" fontId="5" numFmtId="0" xfId="0" applyAlignment="1" applyBorder="1" applyFill="1" applyFont="1">
      <alignment readingOrder="0" shrinkToFit="0" vertical="center" wrapText="1"/>
    </xf>
    <xf borderId="0" fillId="0" fontId="10" numFmtId="0" xfId="0" applyAlignment="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2" fillId="5" fontId="9" numFmtId="0" xfId="0" applyAlignment="1" applyBorder="1" applyFill="1" applyFont="1">
      <alignment shrinkToFit="0" vertical="top" wrapText="1"/>
    </xf>
    <xf borderId="2" fillId="5" fontId="8" numFmtId="0" xfId="0" applyAlignment="1" applyBorder="1" applyFill="1" applyFont="1">
      <alignment shrinkToFit="0" vertical="top" wrapText="1"/>
    </xf>
    <xf borderId="4" fillId="2" fontId="1" numFmtId="0" xfId="0" applyAlignment="1" applyBorder="1" applyFill="1" applyFont="1">
      <alignment horizontal="center" readingOrder="0" shrinkToFit="0" vertical="center" wrapText="1"/>
    </xf>
    <xf borderId="5" fillId="2" fontId="1" numFmtId="0" xfId="0" applyAlignment="1" applyBorder="1" applyFill="1" applyFont="1">
      <alignment horizontal="center" readingOrder="0" shrinkToFit="0" vertical="center" wrapText="1"/>
    </xf>
    <xf borderId="6" fillId="0" fontId="11" numFmtId="0" xfId="0" applyBorder="1" applyFont="1"/>
    <xf borderId="0" fillId="0" fontId="3" numFmtId="0" xfId="0" applyAlignment="1" applyFont="1">
      <alignment shrinkToFit="0" wrapText="1"/>
    </xf>
    <xf borderId="4" fillId="0" fontId="12" numFmtId="0" xfId="0" applyAlignment="1" applyBorder="1" applyFont="1">
      <alignment readingOrder="0" shrinkToFit="0" vertical="center" wrapText="1"/>
    </xf>
    <xf borderId="4" fillId="0" fontId="3" numFmtId="0" xfId="0" applyAlignment="1" applyBorder="1" applyFont="1">
      <alignment readingOrder="0" shrinkToFit="0" vertical="center" wrapText="1"/>
    </xf>
    <xf borderId="7" fillId="0" fontId="3" numFmtId="0" xfId="0" applyAlignment="1" applyBorder="1" applyFont="1">
      <alignment readingOrder="0" shrinkToFit="0" vertical="center" wrapText="1"/>
    </xf>
    <xf borderId="4" fillId="0" fontId="13" numFmtId="0" xfId="0" applyAlignment="1" applyBorder="1" applyFont="1">
      <alignment readingOrder="0" shrinkToFit="0" vertical="center" wrapText="1"/>
    </xf>
    <xf borderId="8" fillId="0" fontId="11" numFmtId="0" xfId="0" applyBorder="1" applyFont="1"/>
    <xf borderId="4" fillId="0" fontId="3" numFmtId="0" xfId="0" applyAlignment="1" applyBorder="1" applyFont="1">
      <alignment readingOrder="0" shrinkToFit="0" vertical="center" wrapText="1"/>
    </xf>
    <xf borderId="4" fillId="0" fontId="3" numFmtId="0" xfId="0" applyAlignment="1" applyBorder="1" applyFont="1">
      <alignment shrinkToFit="0" vertical="center" wrapText="1"/>
    </xf>
    <xf borderId="4" fillId="0"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Task id="{27a2850f-6711-441b-9d2c-a09556f0b40c}">
    <Anchor>
      <Comment id="{f05200bc-c70e-4f04-91d7-2203a8680729}"/>
    </Anchor>
    <History>
      <Event time="2026-09-04T12:27:46.00" id="{a8b251e0-dae5-4ed4-92db-ffd1e679bddd}">
        <Attribution userId="placeholder@email.com" userName="Divyam Goenka" userProvider="google-sheets"/>
        <Anchor>
          <Comment id="{f05200bc-c70e-4f04-91d7-2203a8680729}"/>
        </Anchor>
        <Create/>
      </Event>
      <Event time="2026-09-04T12:27:46.00" id="{ffe88e09-0411-4004-9578-17a65da84e5e}">
        <Attribution userId="placeholder@email.com" userName="Divyam Goenka" userProvider="google-sheets"/>
        <Anchor>
          <Comment id="{f05200bc-c70e-4f04-91d7-2203a8680729}"/>
        </Anchor>
        <Assign userId="sudeep.purwar@mastersunion.org" userName="sudeep.purwar@mastersunion.org" userProvider="google-sheets"/>
      </Event>
    </History>
  </Task>
</Tasks>
</file>

<file path=xl/documenttasks/documenttask2.xml><?xml version="1.0" encoding="utf-8"?>
<Tasks xmlns="http://schemas.microsoft.com/office/tasks/2019/documenttasks">
  <Task id="{3567e757-0359-4479-b37d-19245cafc754}">
    <Anchor>
      <Comment id="{2eed0aa2-a2e8-4232-8e9f-978d43fc4f95}"/>
    </Anchor>
    <History>
      <Event time="2026-09-04T12:29:25.00" id="{858d77c0-9b4b-46dc-953e-531b4f4416fa}">
        <Attribution userId="placeholder@email.com" userName="Divyam Goenka" userProvider="google-sheets"/>
        <Anchor>
          <Comment id="{2eed0aa2-a2e8-4232-8e9f-978d43fc4f95}"/>
        </Anchor>
        <Create/>
      </Event>
      <Event time="2026-09-04T12:29:25.00" id="{eb318a09-6f5a-4c23-b08d-7af0be6110bf}">
        <Attribution userId="placeholder@email.com" userName="Divyam Goenka" userProvider="google-sheets"/>
        <Anchor>
          <Comment id="{2eed0aa2-a2e8-4232-8e9f-978d43fc4f95}"/>
        </Anchor>
        <Assign userId="sudeep.purwar@mastersunion.org" userName="sudeep.purwar@mastersunion.org" userProvider="google-sheets"/>
      </Event>
    </History>
  </Task>
</Tasks>
</file>

<file path=xl/documenttasks/documenttask3.xml><?xml version="1.0" encoding="utf-8"?>
<Tasks xmlns="http://schemas.microsoft.com/office/tasks/2019/documenttasks">
  <Task id="{930fd04c-b4de-4394-bcfd-f1b5a9d70886}">
    <Anchor>
      <Comment id="{1f8665e0-300e-4422-b68f-041b4b1814bb}"/>
    </Anchor>
    <History>
      <Event time="2026-09-04T12:34:38.00" id="{77b1c7c7-0ac6-4219-98c5-38567d445f69}">
        <Attribution userId="placeholder@email.com" userName="Divyam Goenka" userProvider="google-sheets"/>
        <Anchor>
          <Comment id="{1f8665e0-300e-4422-b68f-041b4b1814bb}"/>
        </Anchor>
        <Create/>
      </Event>
      <Event time="2026-09-04T12:34:38.00" id="{0bdda696-ac08-448e-8706-1b815944bfc5}">
        <Attribution userId="placeholder@email.com" userName="Divyam Goenka" userProvider="google-sheets"/>
        <Anchor>
          <Comment id="{1f8665e0-300e-4422-b68f-041b4b1814bb}"/>
        </Anchor>
        <Assign userId="mrittika.maitra@mastersunion.org" userName="mrittika.maitra@mastersunion.org" userProvider="google-sheets"/>
      </Event>
    </History>
  </Task>
</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rittika Maitra" id="{faa58df5-0454-4235-941f-f93fa2bec51c}" providerId="google-sheets"/>
  <x18tc:person displayName="mrittika.maitra@mastersunion.org" id="{eb6d1e9f-0cae-43ba-97df-ad9ed1ea07ce}" userId="mrittika.maitra@mastersunion.org" providerId="google-sheets"/>
  <x18tc:person displayName="sudeep.purwar@mastersunion.org" id="{6290bdb5-b6bd-4c70-bc54-aae084b6d890}" userId="sudeep.purwar@mastersunion.org" providerId="google-sheets"/>
  <x18tc:person displayName="Divyam Goenka" id="{34390f02-2ce7-4e3f-bb36-ee714e76866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9-04T12:27:46.00" personId="{34390f02-2ce7-4e3f-bb36-ee714e768660}" id="{f05200bc-c70e-4f04-91d7-2203a8680729}" done="0">
    <x18tc:text xml:space="preserve">@sudeep.purwar@mastersunion.org the best way to do this is to scrape our entire YT and Instagram (all our channels) and tag them on the back end using different heads for use cases. 
For eg. 
Brand Film 
Perf Ad 
Student building a startup - built at mu video 
etc etc. 
This way it will much easier for the tool to scrape and provide data on the front end
Assigned to sudeep.purwar@mastersunion.org</x18tc:text>
    <x18tc:mentions>
      <x18tc:mention mentionpersonId="{6290bdb5-b6bd-4c70-bc54-aae084b6d890}" mentionId="{675e77ba-e165-427f-a8a2-4f2c81889f7e}" startIndex="0" length="3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04T12:29:25.00" personId="{34390f02-2ce7-4e3f-bb36-ee714e768660}" id="{2eed0aa2-a2e8-4232-8e9f-978d43fc4f95}" done="0">
    <x18tc:text xml:space="preserve">Finding all possible use cases and having not more than 20 pictures each for every use case - 
This activity was already done like 50-60% by Ayushi for the Prospectus. We can just expand on it and complete it. @sudeep.purwar@mastersunion.org 
Scrapping the entire drive every single time is going to take a lot of tokens
Assigned to sudeep.purwar@mastersunion.org</x18tc:text>
    <x18tc:mentions>
      <x18tc:mention mentionpersonId="{6290bdb5-b6bd-4c70-bc54-aae084b6d890}" mentionId="{1e50cbe3-41ac-4f09-ac93-152d62d96da2}" startIndex="210" length="31"/>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9-04T12:34:38.00" personId="{34390f02-2ce7-4e3f-bb36-ee714e768660}" id="{1f8665e0-300e-4422-b68f-041b4b1814bb}" done="0">
    <x18tc:text xml:space="preserve">@mrittika.maitra@mastersunion.org this is what I'd like you to do - 
Segment reports + brochures across the org in different ways. 
1. UG-PG-Exec-Central Functions - audit whatever you have from the data collection activity that Ananya did across the above 4 departments. See if it covers everything. I'm sure it wouldn't. 
2. Shoot a fresh mail to all decision makers across UG-PG-Exec-CF to submit all the reports, brochures, PDFs ever made by them by Monday EOD -= have Gautam in CC for this along with me. 
3. Once you receive all of these - make a directory here where you have solved for navigation. I'm proposing one here - 
1. No. 
2. Report/Document Name :
3. Published Year : 2020-2026
4. Published by Dept : UG,PG, Exec. CF (write all CF departments alag alag) 
5. Link of the report 
6. Audience of the report (already there in the existing sheet)
Assigned to mrittika.maitra@mastersunion.org</x18tc:text>
    <x18tc:mentions>
      <x18tc:mention mentionpersonId="{eb6d1e9f-0cae-43ba-97df-ad9ed1ea07ce}" mentionId="{33d2225e-d9ab-44f1-8b49-6aedf24fb722}" startIndex="0" length="33"/>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6-09-04T12:23:30.00" personId="{34390f02-2ce7-4e3f-bb36-ee714e768660}" id="{cdb38c20-7c49-40bf-b2b7-a43929adbf98}" done="1">
    <x18tc:text xml:space="preserve">@mrittika.maitra@mastersunion.org devansh has this</x18tc:text>
    <x18tc:mentions>
      <x18tc:mention mentionpersonId="{eb6d1e9f-0cae-43ba-97df-ad9ed1ea07ce}" mentionId="{289d7172-315b-4acc-a0bd-c0830225344d}" startIndex="0" length="33"/>
    </x18tc:mentions>
  </x18tc:threadedComment>
  <x18tc:threadedComment ref="A7" dT="2026-09-04T12:27:34.00" personId="{faa58df5-0454-4235-941f-f93fa2bec51c}" id="{ce491235-3b62-45b0-96da-68ef6266c80b}" parentId="{cdb38c20-7c49-40bf-b2b7-a43929adbf98}">
    <x18tc:text xml:space="preserve">not live on youtube, will upload unlist and link</x18tc:text>
  </x18tc:threadedComment>
  <x18tc:threadedComment ref="A20" dT="2026-09-04T12:23:48.00" personId="{34390f02-2ce7-4e3f-bb36-ee714e768660}" id="{2be4fda4-cc84-4fcf-9efd-2ed073422a05}" done="1">
    <x18tc:text xml:space="preserve">Ishika has this</x18tc:text>
  </x18tc:threadedComment>
  <x18tc:threadedComment ref="A20" dT="2026-09-04T12:26:29.00" personId="{faa58df5-0454-4235-941f-f93fa2bec51c}" id="{d3d5b756-816e-4d2a-96c3-47e2a76f54c2}" parentId="{2be4fda4-cc84-4fcf-9efd-2ed073422a05}">
    <x18tc:text xml:space="preserve">not live yet, she'll send it to me when its ready</x18tc:text>
  </x18tc:threadedComment>
  <x18tc:threadedComment ref="A4" dT="2026-09-04T12:23:38.00" personId="{34390f02-2ce7-4e3f-bb36-ee714e768660}" id="{662afd25-e899-463f-95f5-1db3ee624b5b}" done="1">
    <x18tc:text xml:space="preserve">@mrittika.maitra@mastersunion.org Devansh has this</x18tc:text>
    <x18tc:mentions>
      <x18tc:mention mentionpersonId="{eb6d1e9f-0cae-43ba-97df-ad9ed1ea07ce}" mentionId="{f3d1b32a-7213-44e1-9672-effa6310cf0c}" startIndex="0" length="33"/>
    </x18tc:mentions>
  </x18tc:threadedComment>
  <x18tc:threadedComment ref="A21" dT="2026-09-04T12:23:53.00" personId="{34390f02-2ce7-4e3f-bb36-ee714e768660}" id="{62b0f637-b43e-45f6-b2d3-823a91b16ce5}" done="1">
    <x18tc:text xml:space="preserve">Live on YT</x18tc:text>
  </x18tc:threadedComment>
  <x18tc:threadedComment ref="A22" dT="2026-09-04T12:23:59.00" personId="{34390f02-2ce7-4e3f-bb36-ee714e768660}" id="{85f705a4-57a2-4317-882d-e63d81f7b2ca}" done="1">
    <x18tc:text xml:space="preserve">Live on YT</x18tc:text>
  </x18tc:threadedComment>
  <x18tc:threadedComment ref="A16" dT="2026-09-04T12:23:42.00" personId="{34390f02-2ce7-4e3f-bb36-ee714e768660}" id="{563b2838-8078-4a1c-95a1-5d990b8946fd}" done="1">
    <x18tc:text xml:space="preserve">live on YT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8.xml"/><Relationship Id="rId5"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9.xml"/><Relationship Id="rId5"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0.xml"/><Relationship Id="rId5"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youtu.be/6XWLPtZq8kk?si=9owXi0eeSNzfoGRF" TargetMode="External"/><Relationship Id="rId42" Type="http://schemas.openxmlformats.org/officeDocument/2006/relationships/hyperlink" Target="https://www.youtube.com/watch?v=8Zh1TucHDwI" TargetMode="External"/><Relationship Id="rId41" Type="http://schemas.openxmlformats.org/officeDocument/2006/relationships/hyperlink" Target="https://files.mastersunion.link//test//Perspective_Report.pdf" TargetMode="External"/><Relationship Id="rId44" Type="http://schemas.openxmlformats.org/officeDocument/2006/relationships/hyperlink" Target="https://youtu.be/VIzWHj8FrXA?si=o2cXwRNlT0Xm6Jsi" TargetMode="External"/><Relationship Id="rId43" Type="http://schemas.openxmlformats.org/officeDocument/2006/relationships/hyperlink" Target="https://files.mastersunion.link/brochures/26082026/v1/PGP_Bharat_Brochure.pdf" TargetMode="External"/><Relationship Id="rId46" Type="http://schemas.openxmlformats.org/officeDocument/2006/relationships/hyperlink" Target="https://drive.google.com/drive/u/0/folders/1zXYtooRxItlFDoEcCtFD2ZTbg9hySbbx" TargetMode="External"/><Relationship Id="rId45" Type="http://schemas.openxmlformats.org/officeDocument/2006/relationships/hyperlink" Target="https://drive.google.com/file/d/1bRaZeRR-SdVIcfOI4mG2V6la6qck5sq7/view?usp=drive_link"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youtube.com/watch?v=IyMIGNBmRrg" TargetMode="External"/><Relationship Id="rId9" Type="http://schemas.openxmlformats.org/officeDocument/2006/relationships/hyperlink" Target="https://drive.google.com/file/d/1TVG0ZhZWuQxT8ONmkW32FEURmiADNOnN/view" TargetMode="External"/><Relationship Id="rId48" Type="http://schemas.openxmlformats.org/officeDocument/2006/relationships/hyperlink" Target="https://drive.google.com/file/d/1zxzUZF1dgPyT1_eVXd99ypADUwo2tde8/view?usp=drive_link" TargetMode="External"/><Relationship Id="rId47" Type="http://schemas.openxmlformats.org/officeDocument/2006/relationships/hyperlink" Target="https://www.youtube.com/watch?v=jBzL5xyOa40" TargetMode="External"/><Relationship Id="rId49" Type="http://schemas.openxmlformats.org/officeDocument/2006/relationships/hyperlink" Target="https://drive.google.com/drive/u/0/folders/1mJ7KffqqKp46x-EfIbvw1kAPzhfWXIMG" TargetMode="External"/><Relationship Id="rId5" Type="http://schemas.openxmlformats.org/officeDocument/2006/relationships/hyperlink" Target="https://drive.google.com/drive/folders/1Wn1nE8fi555MMSlv0D0GhBg8Vjyxs-cY" TargetMode="External"/><Relationship Id="rId6" Type="http://schemas.openxmlformats.org/officeDocument/2006/relationships/hyperlink" Target="https://www.youtube.com/watch?v=N5Crw6YCkSU" TargetMode="External"/><Relationship Id="rId7" Type="http://schemas.openxmlformats.org/officeDocument/2006/relationships/hyperlink" Target="https://drive.google.com/file/d/1NCO2Q5pcjvRYyqkgGBtslKpXTWwceDla/view" TargetMode="External"/><Relationship Id="rId8" Type="http://schemas.openxmlformats.org/officeDocument/2006/relationships/hyperlink" Target="https://www.figma.com/design/LLYTAzhCqnzO4MzL5gMDJV/Brand-Deck---Masters--Union-RE?node-id=1747-445&amp;t=sK6Hh5R2XmcbxkBl-1" TargetMode="External"/><Relationship Id="rId31" Type="http://schemas.openxmlformats.org/officeDocument/2006/relationships/hyperlink" Target="https://drive.google.com/file/d/1WGSacf3GbG7Hws3_EWQHUcfv-lv5-K_I/view?usp=drive_link" TargetMode="External"/><Relationship Id="rId30" Type="http://schemas.openxmlformats.org/officeDocument/2006/relationships/hyperlink" Target="https://drive.google.com/drive/folders/1JrhuPiJM1YsFAe09u6Z8zk7prX0zwJXf?usp=share_link" TargetMode="External"/><Relationship Id="rId33" Type="http://schemas.openxmlformats.org/officeDocument/2006/relationships/hyperlink" Target="https://files.mastersunion.link/Dropshipping_Challenge_Report.pdf" TargetMode="External"/><Relationship Id="rId32" Type="http://schemas.openxmlformats.org/officeDocument/2006/relationships/hyperlink" Target="https://drive.google.com/drive/folders/1EQZXB4tAoUabXDrtdqzPQEaD5UtX2mp7?usp=share_link" TargetMode="External"/><Relationship Id="rId35" Type="http://schemas.openxmlformats.org/officeDocument/2006/relationships/hyperlink" Target="https://drive.google.com/drive/u/0/folders/19cw1nnKP-DDPxAjGCgT9HKk4wrZpV1yO" TargetMode="External"/><Relationship Id="rId34" Type="http://schemas.openxmlformats.org/officeDocument/2006/relationships/hyperlink" Target="https://drive.google.com/drive/folders/1U7khucJWNZYdskcOuDBZs5M2c7yYWJ9B?usp=share_link" TargetMode="External"/><Relationship Id="rId37" Type="http://schemas.openxmlformats.org/officeDocument/2006/relationships/hyperlink" Target="https://drive.google.com/drive/folders/1lEpLNc1qiQXsRXtw7fT2872OIFPc-uoU?usp=share_link" TargetMode="External"/><Relationship Id="rId36" Type="http://schemas.openxmlformats.org/officeDocument/2006/relationships/hyperlink" Target="https://www.youtube.com/watch?v=JdkZQbuuJeE" TargetMode="External"/><Relationship Id="rId39" Type="http://schemas.openxmlformats.org/officeDocument/2006/relationships/hyperlink" Target="https://www.youtube.com/watch?v=F5SFb40iB0U" TargetMode="External"/><Relationship Id="rId38" Type="http://schemas.openxmlformats.org/officeDocument/2006/relationships/hyperlink" Target="https://drive.google.com/drive/folders/1DOtbu0JNuLAg1E13RBannugWVlSdnv9B" TargetMode="External"/><Relationship Id="rId20" Type="http://schemas.openxmlformats.org/officeDocument/2006/relationships/hyperlink" Target="https://drive.google.com/drive/folders/1Q-hoK_s7zgm1sCgSw94Zf3q7iV0k85xr?usp=share_link" TargetMode="External"/><Relationship Id="rId22" Type="http://schemas.openxmlformats.org/officeDocument/2006/relationships/hyperlink" Target="https://www.youtube.com/watch?v=uI12CiRkylM" TargetMode="External"/><Relationship Id="rId21" Type="http://schemas.openxmlformats.org/officeDocument/2006/relationships/hyperlink" Target="https://files.mastersunion.link/MasterUnion/Reports/PGP_TBM_Placement_Report_2023.pdf" TargetMode="External"/><Relationship Id="rId24" Type="http://schemas.openxmlformats.org/officeDocument/2006/relationships/hyperlink" Target="https://files.mastersunion.link/MasterUnion/Reports/PGP_TBM_Placement_Report_2024.pdf" TargetMode="External"/><Relationship Id="rId23" Type="http://schemas.openxmlformats.org/officeDocument/2006/relationships/hyperlink" Target="https://drive.google.com/drive/folders/1vaAIRpHtOWOqMkCjZYTD5JYfIwbFuHDK?usp=share_link" TargetMode="External"/><Relationship Id="rId26" Type="http://schemas.openxmlformats.org/officeDocument/2006/relationships/hyperlink" Target="https://drive.google.com/drive/folders/1SZScspK8-VCOo2iHfaRNl4O3ScOKQZoe?usp=share_link" TargetMode="External"/><Relationship Id="rId25" Type="http://schemas.openxmlformats.org/officeDocument/2006/relationships/hyperlink" Target="https://drive.google.com/file/d/1sikU3_jqYWEMgalv1JQaeEkSVtcb4vx1/view?usp=drive_link" TargetMode="External"/><Relationship Id="rId28" Type="http://schemas.openxmlformats.org/officeDocument/2006/relationships/hyperlink" Target="https://www.youtube.com/watch?v=BOiNnczhfjw" TargetMode="External"/><Relationship Id="rId27" Type="http://schemas.openxmlformats.org/officeDocument/2006/relationships/hyperlink" Target="https://drive.google.com/file/d/17yPb5fyLLA18rzV9xKZiZPwqEGwB-hJV/view?ts=6a9e5a96" TargetMode="External"/><Relationship Id="rId29" Type="http://schemas.openxmlformats.org/officeDocument/2006/relationships/hyperlink" Target="https://drive.google.com/file/d/1TVG0ZhZWuQxT8ONmkW32FEURmiADNOnN/view" TargetMode="External"/><Relationship Id="rId51" Type="http://schemas.openxmlformats.org/officeDocument/2006/relationships/hyperlink" Target="https://drive.google.com/file/d/1rvGtIVulSLNlGd54wyTHoja6QfSgrh-f/view?ts=6a9e6595" TargetMode="External"/><Relationship Id="rId50" Type="http://schemas.openxmlformats.org/officeDocument/2006/relationships/hyperlink" Target="https://www.youtube.com/watch?v=OMa6swh1MOk&amp;feature=youtu.be" TargetMode="External"/><Relationship Id="rId53" Type="http://schemas.openxmlformats.org/officeDocument/2006/relationships/hyperlink" Target="https://prsindia.org/files/bills_acts/bills_states/haryana/2026/Bill17of2026HR.pdf" TargetMode="External"/><Relationship Id="rId52" Type="http://schemas.openxmlformats.org/officeDocument/2006/relationships/hyperlink" Target="https://www.youtube.com/watch?v=ikltumaKUZc" TargetMode="External"/><Relationship Id="rId11" Type="http://schemas.openxmlformats.org/officeDocument/2006/relationships/hyperlink" Target="https://files.mastersunion.link/Entrepreneurship_Report.pdf" TargetMode="External"/><Relationship Id="rId55" Type="http://schemas.openxmlformats.org/officeDocument/2006/relationships/hyperlink" Target="https://drive.google.com/drive/folders/1Pm49pxK3p0ez4DwFxuPZil0xdjSO3Oy4" TargetMode="External"/><Relationship Id="rId10" Type="http://schemas.openxmlformats.org/officeDocument/2006/relationships/hyperlink" Target="https://drive.google.com/drive/u/3/folders/1FBjrdhnq1iu9YIVWxEivLx0JOXlBrGoq" TargetMode="External"/><Relationship Id="rId54" Type="http://schemas.openxmlformats.org/officeDocument/2006/relationships/hyperlink" Target="https://www.youtube.com/watch?v=yJFsZLgUa40" TargetMode="External"/><Relationship Id="rId13" Type="http://schemas.openxmlformats.org/officeDocument/2006/relationships/hyperlink" Target="https://drive.google.com/drive/folders/1epxySRtMuu7AJLXqxvJDiKjcUjSq2YGk?usp=share_link" TargetMode="External"/><Relationship Id="rId57" Type="http://schemas.openxmlformats.org/officeDocument/2006/relationships/drawing" Target="../drawings/drawing13.xml"/><Relationship Id="rId12" Type="http://schemas.openxmlformats.org/officeDocument/2006/relationships/hyperlink" Target="https://www.youtube.com/watch?v=_bPVZ6hYaHc" TargetMode="External"/><Relationship Id="rId56" Type="http://schemas.openxmlformats.org/officeDocument/2006/relationships/hyperlink" Target="https://www.youtube.com/watch?v=xEg3x1lTFF0" TargetMode="External"/><Relationship Id="rId15" Type="http://schemas.openxmlformats.org/officeDocument/2006/relationships/hyperlink" Target="https://www.youtube.com/watch?v=G4B1ozACq6w" TargetMode="External"/><Relationship Id="rId14" Type="http://schemas.openxmlformats.org/officeDocument/2006/relationships/hyperlink" Target="https://files.mastersunion.link/MasterUnion/Reports/PGP_TBM_Placement_Report_2021.pdf" TargetMode="External"/><Relationship Id="rId58" Type="http://schemas.openxmlformats.org/officeDocument/2006/relationships/vmlDrawing" Target="../drawings/vmlDrawing4.vml"/><Relationship Id="rId17" Type="http://schemas.openxmlformats.org/officeDocument/2006/relationships/hyperlink" Target="https://drive.google.com/drive/folders/1ieeKVpsa0tFwe59fgnC1XeufiZUG24fF?usp=share_link" TargetMode="External"/><Relationship Id="rId16" Type="http://schemas.openxmlformats.org/officeDocument/2006/relationships/hyperlink" Target="https://drive.google.com/file/d/15YcZqiJRg6BjkxsW4Sn0GqZxBsPauan0/view?usp=drive_link" TargetMode="External"/><Relationship Id="rId19" Type="http://schemas.openxmlformats.org/officeDocument/2006/relationships/hyperlink" Target="https://drive.google.com/file/d/1PoNTIS66VruHgv31n5hd8gvYn4xO8NmR/view" TargetMode="External"/><Relationship Id="rId18" Type="http://schemas.openxmlformats.org/officeDocument/2006/relationships/hyperlink" Target="https://files.mastersunion.link/MasterUnion/Reports/PGP_TBM_Placement_Report_2022.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3" max="3" width="24.5"/>
  </cols>
  <sheetData>
    <row r="1">
      <c r="A1" s="1" t="s">
        <v>0</v>
      </c>
      <c r="B1" s="1" t="s">
        <v>4</v>
      </c>
      <c r="C1" s="1" t="s">
        <v>5</v>
      </c>
      <c r="D1" s="1" t="s">
        <v>6</v>
      </c>
      <c r="E1" s="1" t="s">
        <v>7</v>
      </c>
      <c r="F1" s="1"/>
    </row>
    <row r="2">
      <c r="A2" s="3" t="s">
        <v>8</v>
      </c>
    </row>
    <row r="3">
      <c r="A3" s="3" t="s">
        <v>12</v>
      </c>
    </row>
    <row r="4">
      <c r="A4" s="3" t="s">
        <v>14</v>
      </c>
    </row>
    <row r="5">
      <c r="A5" s="3" t="s">
        <v>15</v>
      </c>
    </row>
    <row r="7">
      <c r="A7" s="3" t="s">
        <v>17</v>
      </c>
    </row>
    <row r="8">
      <c r="A8" s="3" t="s">
        <v>20</v>
      </c>
    </row>
    <row r="9">
      <c r="A9" s="3" t="s">
        <v>22</v>
      </c>
    </row>
    <row r="10">
      <c r="A10" s="3" t="s">
        <v>23</v>
      </c>
    </row>
    <row r="11">
      <c r="A11" s="3" t="s">
        <v>25</v>
      </c>
    </row>
    <row r="12">
      <c r="A12" s="3" t="s">
        <v>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17.88"/>
    <col customWidth="1" min="4" max="4" width="16.38"/>
  </cols>
  <sheetData>
    <row r="2">
      <c r="A2" s="1" t="s">
        <v>1</v>
      </c>
      <c r="B2" s="1" t="s">
        <v>10</v>
      </c>
      <c r="C2" s="1" t="s">
        <v>11</v>
      </c>
      <c r="D2" s="1" t="s">
        <v>13</v>
      </c>
    </row>
    <row r="3">
      <c r="A3" s="3" t="s">
        <v>16</v>
      </c>
    </row>
    <row r="4">
      <c r="A4" s="3" t="s">
        <v>18</v>
      </c>
    </row>
    <row r="5">
      <c r="A5" s="3" t="s">
        <v>21</v>
      </c>
    </row>
    <row r="6">
      <c r="A6" s="3" t="s">
        <v>24</v>
      </c>
    </row>
    <row r="7">
      <c r="A7" s="3" t="s">
        <v>26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75"/>
    <col customWidth="1" min="2" max="2" width="103.25"/>
    <col customWidth="1" min="3" max="26" width="7.63"/>
  </cols>
  <sheetData>
    <row r="1">
      <c r="A1" s="2" t="s">
        <v>3</v>
      </c>
    </row>
    <row r="2">
      <c r="A2" s="4" t="s">
        <v>9</v>
      </c>
    </row>
    <row r="5">
      <c r="A5" s="6" t="s">
        <v>19</v>
      </c>
      <c r="B5" s="7"/>
    </row>
    <row r="6">
      <c r="A6" s="8" t="s">
        <v>31</v>
      </c>
      <c r="B6" s="9" t="s">
        <v>32</v>
      </c>
    </row>
    <row r="7">
      <c r="A7" s="8" t="s">
        <v>34</v>
      </c>
      <c r="B7" s="9" t="s">
        <v>35</v>
      </c>
    </row>
    <row r="8">
      <c r="A8" s="8" t="s">
        <v>36</v>
      </c>
      <c r="B8" s="9" t="s">
        <v>37</v>
      </c>
    </row>
    <row r="10">
      <c r="A10" s="6" t="s">
        <v>38</v>
      </c>
      <c r="B10" s="7"/>
    </row>
    <row r="11">
      <c r="A11" s="8" t="s">
        <v>40</v>
      </c>
      <c r="B11" s="9" t="s">
        <v>43</v>
      </c>
    </row>
    <row r="12">
      <c r="A12" s="8" t="s">
        <v>44</v>
      </c>
      <c r="B12" s="9" t="s">
        <v>45</v>
      </c>
    </row>
    <row r="13">
      <c r="A13" s="8" t="s">
        <v>46</v>
      </c>
      <c r="B13" s="9" t="s">
        <v>49</v>
      </c>
    </row>
    <row r="15">
      <c r="A15" s="6" t="s">
        <v>51</v>
      </c>
      <c r="B15" s="7"/>
    </row>
    <row r="16">
      <c r="A16" s="8" t="s">
        <v>55</v>
      </c>
      <c r="B16" s="9" t="s">
        <v>56</v>
      </c>
    </row>
    <row r="17">
      <c r="A17" s="8" t="s">
        <v>58</v>
      </c>
      <c r="B17" s="9" t="s">
        <v>60</v>
      </c>
    </row>
    <row r="18">
      <c r="A18" s="8" t="s">
        <v>62</v>
      </c>
      <c r="B18" s="9" t="s">
        <v>65</v>
      </c>
    </row>
    <row r="19">
      <c r="A19" s="8" t="s">
        <v>67</v>
      </c>
      <c r="B19" s="9" t="s">
        <v>68</v>
      </c>
    </row>
    <row r="20">
      <c r="A20" s="8" t="s">
        <v>71</v>
      </c>
      <c r="B20" s="9" t="s">
        <v>73</v>
      </c>
    </row>
    <row r="21">
      <c r="A21" s="8" t="s">
        <v>76</v>
      </c>
      <c r="B21" s="9" t="s">
        <v>78</v>
      </c>
    </row>
    <row r="22">
      <c r="A22" s="8" t="s">
        <v>80</v>
      </c>
      <c r="B22" s="9" t="s">
        <v>81</v>
      </c>
    </row>
    <row r="23">
      <c r="A23" s="8" t="s">
        <v>85</v>
      </c>
      <c r="B23" s="9" t="s">
        <v>86</v>
      </c>
    </row>
    <row r="24">
      <c r="A24" s="8" t="s">
        <v>89</v>
      </c>
      <c r="B24" s="9" t="s">
        <v>91</v>
      </c>
    </row>
    <row r="25"/>
    <row r="26">
      <c r="A26" s="6" t="s">
        <v>93</v>
      </c>
      <c r="B26" s="7"/>
    </row>
    <row r="27">
      <c r="A27" s="8" t="s">
        <v>96</v>
      </c>
      <c r="B27" s="9" t="s">
        <v>100</v>
      </c>
    </row>
    <row r="28">
      <c r="A28" s="8" t="s">
        <v>103</v>
      </c>
      <c r="B28" s="9" t="s">
        <v>105</v>
      </c>
    </row>
    <row r="29">
      <c r="A29" s="8" t="s">
        <v>107</v>
      </c>
      <c r="B29" s="9" t="s">
        <v>109</v>
      </c>
    </row>
    <row r="30"/>
    <row r="31">
      <c r="A31" s="6" t="s">
        <v>110</v>
      </c>
      <c r="B31" s="7"/>
    </row>
    <row r="32">
      <c r="A32" s="8" t="s">
        <v>111</v>
      </c>
      <c r="B32" s="9" t="s">
        <v>112</v>
      </c>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8.75"/>
    <col customWidth="1" min="3" max="3" width="29.75"/>
    <col customWidth="1" min="4" max="4" width="63.0"/>
    <col customWidth="1" min="5" max="26" width="7.63"/>
  </cols>
  <sheetData>
    <row r="1" ht="33.75" customHeight="1">
      <c r="A1" s="5" t="s">
        <v>2</v>
      </c>
      <c r="B1" s="5" t="s">
        <v>28</v>
      </c>
      <c r="C1" s="5" t="s">
        <v>29</v>
      </c>
      <c r="D1" s="5" t="s">
        <v>30</v>
      </c>
    </row>
    <row r="2">
      <c r="A2" s="10" t="s">
        <v>33</v>
      </c>
      <c r="B2" s="10" t="s">
        <v>39</v>
      </c>
      <c r="C2" s="10" t="s">
        <v>41</v>
      </c>
      <c r="D2" s="10" t="s">
        <v>42</v>
      </c>
    </row>
    <row r="3">
      <c r="A3" s="11"/>
      <c r="B3" s="11" t="s">
        <v>47</v>
      </c>
      <c r="C3" s="11" t="s">
        <v>48</v>
      </c>
      <c r="D3" s="11" t="s">
        <v>50</v>
      </c>
    </row>
    <row r="4">
      <c r="A4" s="10"/>
      <c r="B4" s="10" t="s">
        <v>52</v>
      </c>
      <c r="C4" s="10" t="s">
        <v>53</v>
      </c>
      <c r="D4" s="10" t="s">
        <v>54</v>
      </c>
    </row>
    <row r="5">
      <c r="A5" s="11"/>
      <c r="B5" s="11" t="s">
        <v>57</v>
      </c>
      <c r="C5" s="11" t="s">
        <v>59</v>
      </c>
      <c r="D5" s="11" t="s">
        <v>61</v>
      </c>
    </row>
    <row r="6">
      <c r="A6" s="10"/>
      <c r="B6" s="10" t="s">
        <v>63</v>
      </c>
      <c r="C6" s="10" t="s">
        <v>64</v>
      </c>
      <c r="D6" s="10" t="s">
        <v>66</v>
      </c>
    </row>
    <row r="7">
      <c r="A7" s="11"/>
      <c r="B7" s="11" t="s">
        <v>69</v>
      </c>
      <c r="C7" s="11" t="s">
        <v>70</v>
      </c>
      <c r="D7" s="11" t="s">
        <v>72</v>
      </c>
    </row>
    <row r="8">
      <c r="A8" s="10" t="s">
        <v>74</v>
      </c>
      <c r="B8" s="10" t="s">
        <v>75</v>
      </c>
      <c r="C8" s="10" t="s">
        <v>77</v>
      </c>
      <c r="D8" s="10" t="s">
        <v>79</v>
      </c>
    </row>
    <row r="9">
      <c r="A9" s="11"/>
      <c r="B9" s="11" t="s">
        <v>82</v>
      </c>
      <c r="C9" s="11" t="s">
        <v>83</v>
      </c>
      <c r="D9" s="11" t="s">
        <v>84</v>
      </c>
    </row>
    <row r="10">
      <c r="A10" s="10"/>
      <c r="B10" s="10" t="s">
        <v>87</v>
      </c>
      <c r="C10" s="10" t="s">
        <v>88</v>
      </c>
      <c r="D10" s="10" t="s">
        <v>90</v>
      </c>
    </row>
    <row r="11">
      <c r="A11" s="11"/>
      <c r="B11" s="11" t="s">
        <v>92</v>
      </c>
      <c r="C11" s="11" t="s">
        <v>94</v>
      </c>
      <c r="D11" s="11" t="s">
        <v>95</v>
      </c>
    </row>
    <row r="12">
      <c r="A12" s="10"/>
      <c r="B12" s="10" t="s">
        <v>97</v>
      </c>
      <c r="C12" s="10" t="s">
        <v>98</v>
      </c>
      <c r="D12" s="10" t="s">
        <v>99</v>
      </c>
    </row>
    <row r="13">
      <c r="A13" s="11"/>
      <c r="B13" s="11" t="s">
        <v>101</v>
      </c>
      <c r="C13" s="11" t="s">
        <v>102</v>
      </c>
      <c r="D13" s="11" t="s">
        <v>104</v>
      </c>
    </row>
    <row r="14">
      <c r="A14" s="10" t="s">
        <v>106</v>
      </c>
      <c r="B14" s="10" t="s">
        <v>108</v>
      </c>
      <c r="C14" s="10" t="s">
        <v>113</v>
      </c>
      <c r="D14" s="10" t="s">
        <v>114</v>
      </c>
    </row>
    <row r="15">
      <c r="A15" s="11"/>
      <c r="B15" s="11" t="s">
        <v>115</v>
      </c>
      <c r="C15" s="11" t="s">
        <v>116</v>
      </c>
      <c r="D15" s="11" t="s">
        <v>117</v>
      </c>
    </row>
    <row r="16">
      <c r="A16" s="10"/>
      <c r="B16" s="10" t="s">
        <v>118</v>
      </c>
      <c r="C16" s="10" t="s">
        <v>119</v>
      </c>
      <c r="D16" s="10" t="s">
        <v>120</v>
      </c>
    </row>
    <row r="17">
      <c r="A17" s="11"/>
      <c r="B17" s="11" t="s">
        <v>121</v>
      </c>
      <c r="C17" s="11" t="s">
        <v>122</v>
      </c>
      <c r="D17" s="11" t="s">
        <v>123</v>
      </c>
    </row>
    <row r="18">
      <c r="A18" s="10"/>
      <c r="B18" s="10" t="s">
        <v>124</v>
      </c>
      <c r="C18" s="10" t="s">
        <v>125</v>
      </c>
      <c r="D18" s="10" t="s">
        <v>126</v>
      </c>
    </row>
    <row r="19">
      <c r="A19" s="11"/>
      <c r="B19" s="11" t="s">
        <v>127</v>
      </c>
      <c r="C19" s="11" t="s">
        <v>128</v>
      </c>
      <c r="D19" s="11" t="s">
        <v>129</v>
      </c>
    </row>
    <row r="20">
      <c r="A20" s="10"/>
      <c r="B20" s="10" t="s">
        <v>130</v>
      </c>
      <c r="C20" s="10" t="s">
        <v>131</v>
      </c>
      <c r="D20" s="10" t="s">
        <v>132</v>
      </c>
    </row>
    <row r="21">
      <c r="A21" s="11" t="s">
        <v>133</v>
      </c>
      <c r="B21" s="11" t="s">
        <v>134</v>
      </c>
      <c r="C21" s="11" t="s">
        <v>135</v>
      </c>
      <c r="D21" s="11" t="s">
        <v>136</v>
      </c>
    </row>
    <row r="22">
      <c r="A22" s="10"/>
      <c r="B22" s="10" t="s">
        <v>137</v>
      </c>
      <c r="C22" s="10" t="s">
        <v>138</v>
      </c>
      <c r="D22" s="10" t="s">
        <v>139</v>
      </c>
    </row>
    <row r="23">
      <c r="A23" s="11"/>
      <c r="B23" s="11" t="s">
        <v>140</v>
      </c>
      <c r="C23" s="11" t="s">
        <v>141</v>
      </c>
      <c r="D23" s="11" t="s">
        <v>142</v>
      </c>
    </row>
    <row r="24">
      <c r="A24" s="10"/>
      <c r="B24" s="10" t="s">
        <v>143</v>
      </c>
      <c r="C24" s="10" t="s">
        <v>144</v>
      </c>
      <c r="D24" s="10" t="s">
        <v>145</v>
      </c>
    </row>
    <row r="25">
      <c r="A25" s="11"/>
      <c r="B25" s="11" t="s">
        <v>146</v>
      </c>
      <c r="C25" s="11" t="s">
        <v>147</v>
      </c>
      <c r="D25" s="11" t="s">
        <v>148</v>
      </c>
    </row>
    <row r="26">
      <c r="A26" s="10"/>
      <c r="B26" s="10" t="s">
        <v>149</v>
      </c>
      <c r="C26" s="10" t="s">
        <v>150</v>
      </c>
      <c r="D26" s="10" t="s">
        <v>151</v>
      </c>
    </row>
    <row r="27">
      <c r="A27" s="11" t="s">
        <v>152</v>
      </c>
      <c r="B27" s="11" t="s">
        <v>153</v>
      </c>
      <c r="C27" s="11" t="s">
        <v>154</v>
      </c>
      <c r="D27" s="11" t="s">
        <v>155</v>
      </c>
    </row>
    <row r="28">
      <c r="A28" s="10"/>
      <c r="B28" s="10" t="s">
        <v>156</v>
      </c>
      <c r="C28" s="10" t="s">
        <v>157</v>
      </c>
      <c r="D28" s="10" t="s">
        <v>158</v>
      </c>
    </row>
    <row r="29">
      <c r="A29" s="11"/>
      <c r="B29" s="11" t="s">
        <v>159</v>
      </c>
      <c r="C29" s="11" t="s">
        <v>160</v>
      </c>
      <c r="D29" s="11" t="s">
        <v>161</v>
      </c>
    </row>
    <row r="30">
      <c r="A30" s="10"/>
      <c r="B30" s="10" t="s">
        <v>162</v>
      </c>
      <c r="C30" s="10" t="s">
        <v>163</v>
      </c>
      <c r="D30" s="10" t="s">
        <v>164</v>
      </c>
    </row>
    <row r="31">
      <c r="A31" s="11"/>
      <c r="B31" s="11" t="s">
        <v>165</v>
      </c>
      <c r="C31" s="11" t="s">
        <v>166</v>
      </c>
      <c r="D31" s="11" t="s">
        <v>167</v>
      </c>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2.75"/>
    <col customWidth="1" min="3" max="3" width="36.75"/>
    <col customWidth="1" min="4" max="4" width="57.75"/>
    <col customWidth="1" min="5" max="5" width="22.75"/>
    <col customWidth="1" min="6" max="6" width="12.25"/>
    <col customWidth="1" min="7" max="26" width="7.63"/>
  </cols>
  <sheetData>
    <row r="1" ht="33.75" customHeight="1">
      <c r="A1" s="5" t="s">
        <v>168</v>
      </c>
      <c r="B1" s="5" t="s">
        <v>169</v>
      </c>
      <c r="C1" s="5" t="s">
        <v>170</v>
      </c>
      <c r="D1" s="5" t="s">
        <v>171</v>
      </c>
      <c r="E1" s="5" t="s">
        <v>172</v>
      </c>
      <c r="F1" s="5" t="s">
        <v>173</v>
      </c>
    </row>
    <row r="2">
      <c r="A2" s="10" t="s">
        <v>174</v>
      </c>
      <c r="B2" s="10" t="s">
        <v>175</v>
      </c>
      <c r="C2" s="10" t="s">
        <v>176</v>
      </c>
      <c r="D2" s="10" t="s">
        <v>177</v>
      </c>
      <c r="E2" s="10" t="s">
        <v>178</v>
      </c>
      <c r="F2" s="10" t="s">
        <v>179</v>
      </c>
    </row>
    <row r="3">
      <c r="A3" s="11" t="s">
        <v>181</v>
      </c>
      <c r="B3" s="11" t="s">
        <v>182</v>
      </c>
      <c r="C3" s="11" t="s">
        <v>183</v>
      </c>
      <c r="D3" s="11" t="s">
        <v>185</v>
      </c>
      <c r="E3" s="11" t="s">
        <v>186</v>
      </c>
      <c r="F3" s="11" t="s">
        <v>187</v>
      </c>
    </row>
    <row r="4">
      <c r="A4" s="10" t="s">
        <v>188</v>
      </c>
      <c r="B4" s="10" t="s">
        <v>189</v>
      </c>
      <c r="C4" s="10" t="s">
        <v>190</v>
      </c>
      <c r="D4" s="10" t="s">
        <v>192</v>
      </c>
      <c r="E4" s="10" t="s">
        <v>194</v>
      </c>
      <c r="F4" s="10" t="s">
        <v>196</v>
      </c>
    </row>
    <row r="5">
      <c r="A5" s="11" t="s">
        <v>198</v>
      </c>
      <c r="B5" s="11" t="s">
        <v>200</v>
      </c>
      <c r="C5" s="11" t="s">
        <v>201</v>
      </c>
      <c r="D5" s="11" t="s">
        <v>202</v>
      </c>
      <c r="E5" s="11" t="s">
        <v>204</v>
      </c>
      <c r="F5" s="11" t="s">
        <v>196</v>
      </c>
    </row>
    <row r="6">
      <c r="A6" s="10" t="s">
        <v>208</v>
      </c>
      <c r="B6" s="10" t="s">
        <v>210</v>
      </c>
      <c r="C6" s="10" t="s">
        <v>212</v>
      </c>
      <c r="D6" s="10" t="s">
        <v>215</v>
      </c>
      <c r="E6" s="10" t="s">
        <v>218</v>
      </c>
      <c r="F6" s="10" t="s">
        <v>179</v>
      </c>
    </row>
    <row r="7">
      <c r="A7" s="11" t="s">
        <v>224</v>
      </c>
      <c r="B7" s="11" t="s">
        <v>225</v>
      </c>
      <c r="C7" s="11" t="s">
        <v>227</v>
      </c>
      <c r="D7" s="11" t="s">
        <v>228</v>
      </c>
      <c r="E7" s="11" t="s">
        <v>229</v>
      </c>
      <c r="F7" s="11" t="s">
        <v>231</v>
      </c>
    </row>
    <row r="8">
      <c r="A8" s="10" t="s">
        <v>233</v>
      </c>
      <c r="B8" s="10" t="s">
        <v>235</v>
      </c>
      <c r="C8" s="10" t="s">
        <v>237</v>
      </c>
      <c r="D8" s="10" t="s">
        <v>241</v>
      </c>
      <c r="E8" s="10" t="s">
        <v>243</v>
      </c>
      <c r="F8" s="10" t="s">
        <v>244</v>
      </c>
    </row>
    <row r="9">
      <c r="A9" s="11" t="s">
        <v>247</v>
      </c>
      <c r="B9" s="11" t="s">
        <v>248</v>
      </c>
      <c r="C9" s="11" t="s">
        <v>250</v>
      </c>
      <c r="D9" s="11" t="s">
        <v>254</v>
      </c>
      <c r="E9" s="11" t="s">
        <v>256</v>
      </c>
      <c r="F9" s="11" t="s">
        <v>196</v>
      </c>
    </row>
    <row r="10">
      <c r="A10" s="10" t="s">
        <v>259</v>
      </c>
      <c r="B10" s="10" t="s">
        <v>261</v>
      </c>
      <c r="C10" s="10" t="s">
        <v>263</v>
      </c>
      <c r="D10" s="10" t="s">
        <v>266</v>
      </c>
      <c r="E10" s="10" t="s">
        <v>269</v>
      </c>
      <c r="F10" s="10" t="s">
        <v>179</v>
      </c>
    </row>
    <row r="11">
      <c r="A11" s="11" t="s">
        <v>273</v>
      </c>
      <c r="B11" s="11" t="s">
        <v>274</v>
      </c>
      <c r="C11" s="11" t="s">
        <v>275</v>
      </c>
      <c r="D11" s="11" t="s">
        <v>277</v>
      </c>
      <c r="E11" s="11" t="s">
        <v>279</v>
      </c>
      <c r="F11" s="11" t="s">
        <v>281</v>
      </c>
    </row>
    <row r="12">
      <c r="A12" s="10" t="s">
        <v>285</v>
      </c>
      <c r="B12" s="10" t="s">
        <v>289</v>
      </c>
      <c r="C12" s="10" t="s">
        <v>291</v>
      </c>
      <c r="D12" s="10" t="s">
        <v>292</v>
      </c>
      <c r="E12" s="10" t="s">
        <v>293</v>
      </c>
      <c r="F12" s="10" t="s">
        <v>295</v>
      </c>
    </row>
    <row r="13">
      <c r="A13" s="11" t="s">
        <v>297</v>
      </c>
      <c r="B13" s="11" t="s">
        <v>298</v>
      </c>
      <c r="C13" s="11" t="s">
        <v>300</v>
      </c>
      <c r="D13" s="11" t="s">
        <v>301</v>
      </c>
      <c r="E13" s="11" t="s">
        <v>302</v>
      </c>
      <c r="F13" s="11" t="s">
        <v>304</v>
      </c>
    </row>
    <row r="14">
      <c r="A14" s="10" t="s">
        <v>306</v>
      </c>
      <c r="B14" s="10" t="s">
        <v>308</v>
      </c>
      <c r="C14" s="10" t="s">
        <v>309</v>
      </c>
      <c r="D14" s="10" t="s">
        <v>313</v>
      </c>
      <c r="E14" s="10" t="s">
        <v>314</v>
      </c>
      <c r="F14" s="10" t="s">
        <v>187</v>
      </c>
    </row>
    <row r="15">
      <c r="A15" s="11" t="s">
        <v>317</v>
      </c>
      <c r="B15" s="11" t="s">
        <v>319</v>
      </c>
      <c r="C15" s="11" t="s">
        <v>320</v>
      </c>
      <c r="D15" s="11" t="s">
        <v>323</v>
      </c>
      <c r="E15" s="11" t="s">
        <v>324</v>
      </c>
      <c r="F15" s="11" t="s">
        <v>325</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26.25"/>
    <col customWidth="1" min="3" max="3" width="10.13"/>
    <col customWidth="1" min="4" max="4" width="11.38"/>
    <col customWidth="1" min="5" max="5" width="17.5"/>
    <col customWidth="1" min="6" max="6" width="9.63"/>
    <col customWidth="1" min="7" max="7" width="35.0"/>
    <col customWidth="1" min="8" max="8" width="8.75"/>
    <col customWidth="1" min="9" max="9" width="12.25"/>
    <col customWidth="1" min="10" max="10" width="10.5"/>
    <col customWidth="1" min="11" max="26" width="7.63"/>
  </cols>
  <sheetData>
    <row r="1" ht="33.75" customHeight="1">
      <c r="A1" s="5"/>
      <c r="B1" s="5" t="s">
        <v>180</v>
      </c>
      <c r="C1" s="12" t="s">
        <v>184</v>
      </c>
      <c r="D1" s="5" t="s">
        <v>191</v>
      </c>
      <c r="E1" s="5" t="s">
        <v>193</v>
      </c>
      <c r="F1" s="5" t="s">
        <v>195</v>
      </c>
      <c r="G1" s="5" t="s">
        <v>197</v>
      </c>
      <c r="H1" s="5" t="s">
        <v>199</v>
      </c>
      <c r="I1" s="5" t="s">
        <v>173</v>
      </c>
      <c r="J1" s="5" t="s">
        <v>203</v>
      </c>
    </row>
    <row r="2">
      <c r="A2" s="10" t="s">
        <v>206</v>
      </c>
      <c r="B2" s="10" t="s">
        <v>211</v>
      </c>
      <c r="C2" s="10" t="s">
        <v>214</v>
      </c>
      <c r="D2" s="10" t="s">
        <v>217</v>
      </c>
      <c r="E2" s="10" t="s">
        <v>219</v>
      </c>
      <c r="F2" s="10" t="s">
        <v>221</v>
      </c>
      <c r="G2" s="10" t="s">
        <v>222</v>
      </c>
      <c r="H2" s="10" t="s">
        <v>223</v>
      </c>
      <c r="I2" s="10" t="s">
        <v>179</v>
      </c>
      <c r="J2" s="10" t="s">
        <v>226</v>
      </c>
    </row>
    <row r="3">
      <c r="A3" s="11" t="s">
        <v>230</v>
      </c>
      <c r="B3" s="11" t="s">
        <v>211</v>
      </c>
      <c r="C3" s="11" t="s">
        <v>214</v>
      </c>
      <c r="D3" s="11" t="s">
        <v>234</v>
      </c>
      <c r="E3" s="11" t="s">
        <v>219</v>
      </c>
      <c r="F3" s="11" t="s">
        <v>221</v>
      </c>
      <c r="G3" s="11" t="s">
        <v>239</v>
      </c>
      <c r="H3" s="11" t="s">
        <v>223</v>
      </c>
      <c r="I3" s="11" t="s">
        <v>179</v>
      </c>
      <c r="J3" s="11" t="s">
        <v>226</v>
      </c>
    </row>
    <row r="4">
      <c r="A4" s="10" t="s">
        <v>245</v>
      </c>
      <c r="B4" s="10" t="s">
        <v>246</v>
      </c>
      <c r="C4" s="10" t="s">
        <v>214</v>
      </c>
      <c r="D4" s="10" t="s">
        <v>217</v>
      </c>
      <c r="E4" s="10" t="s">
        <v>251</v>
      </c>
      <c r="F4" s="10" t="s">
        <v>221</v>
      </c>
      <c r="G4" s="10" t="s">
        <v>222</v>
      </c>
      <c r="H4" s="10" t="s">
        <v>223</v>
      </c>
      <c r="I4" s="10" t="s">
        <v>179</v>
      </c>
      <c r="J4" s="10" t="s">
        <v>226</v>
      </c>
    </row>
    <row r="5">
      <c r="A5" s="11" t="s">
        <v>260</v>
      </c>
      <c r="B5" s="11" t="s">
        <v>262</v>
      </c>
      <c r="C5" s="11" t="s">
        <v>214</v>
      </c>
      <c r="D5" s="11" t="s">
        <v>217</v>
      </c>
      <c r="E5" s="11" t="s">
        <v>268</v>
      </c>
      <c r="F5" s="11" t="s">
        <v>221</v>
      </c>
      <c r="G5" s="11" t="s">
        <v>272</v>
      </c>
      <c r="H5" s="11" t="s">
        <v>276</v>
      </c>
      <c r="I5" s="11" t="s">
        <v>179</v>
      </c>
      <c r="J5" s="11" t="s">
        <v>226</v>
      </c>
    </row>
    <row r="6">
      <c r="A6" s="10" t="s">
        <v>283</v>
      </c>
      <c r="B6" s="10" t="s">
        <v>286</v>
      </c>
      <c r="C6" s="10" t="s">
        <v>299</v>
      </c>
      <c r="D6" s="10" t="s">
        <v>234</v>
      </c>
      <c r="E6" s="10" t="s">
        <v>268</v>
      </c>
      <c r="F6" s="10" t="s">
        <v>310</v>
      </c>
      <c r="G6" s="10" t="s">
        <v>312</v>
      </c>
      <c r="H6" s="10" t="s">
        <v>223</v>
      </c>
      <c r="I6" s="10" t="s">
        <v>281</v>
      </c>
      <c r="J6" s="10" t="s">
        <v>226</v>
      </c>
    </row>
    <row r="7">
      <c r="A7" s="11" t="s">
        <v>321</v>
      </c>
      <c r="B7" s="11" t="s">
        <v>286</v>
      </c>
      <c r="C7" s="11" t="s">
        <v>299</v>
      </c>
      <c r="D7" s="11" t="s">
        <v>326</v>
      </c>
      <c r="E7" s="11" t="s">
        <v>327</v>
      </c>
      <c r="F7" s="11" t="s">
        <v>310</v>
      </c>
      <c r="G7" s="11" t="s">
        <v>329</v>
      </c>
      <c r="H7" s="11" t="s">
        <v>276</v>
      </c>
      <c r="I7" s="11" t="s">
        <v>281</v>
      </c>
      <c r="J7" s="11" t="s">
        <v>226</v>
      </c>
    </row>
    <row r="8">
      <c r="A8" s="10" t="s">
        <v>334</v>
      </c>
      <c r="B8" s="10" t="s">
        <v>335</v>
      </c>
      <c r="C8" s="10" t="s">
        <v>299</v>
      </c>
      <c r="D8" s="10" t="s">
        <v>338</v>
      </c>
      <c r="E8" s="10" t="s">
        <v>340</v>
      </c>
      <c r="F8" s="10" t="s">
        <v>310</v>
      </c>
      <c r="G8" s="10" t="s">
        <v>342</v>
      </c>
      <c r="H8" s="10" t="s">
        <v>343</v>
      </c>
      <c r="I8" s="10" t="s">
        <v>281</v>
      </c>
      <c r="J8" s="10" t="s">
        <v>226</v>
      </c>
    </row>
    <row r="9">
      <c r="A9" s="11" t="s">
        <v>346</v>
      </c>
      <c r="B9" s="11" t="s">
        <v>348</v>
      </c>
      <c r="C9" s="11" t="s">
        <v>299</v>
      </c>
      <c r="D9" s="11" t="s">
        <v>234</v>
      </c>
      <c r="E9" s="11" t="s">
        <v>350</v>
      </c>
      <c r="F9" s="11" t="s">
        <v>310</v>
      </c>
      <c r="G9" s="11" t="s">
        <v>351</v>
      </c>
      <c r="H9" s="11" t="s">
        <v>223</v>
      </c>
      <c r="I9" s="11" t="s">
        <v>281</v>
      </c>
      <c r="J9" s="11" t="s">
        <v>226</v>
      </c>
    </row>
    <row r="10">
      <c r="A10" s="10" t="s">
        <v>354</v>
      </c>
      <c r="B10" s="10" t="s">
        <v>348</v>
      </c>
      <c r="C10" s="10" t="s">
        <v>299</v>
      </c>
      <c r="D10" s="10" t="s">
        <v>326</v>
      </c>
      <c r="E10" s="10" t="s">
        <v>268</v>
      </c>
      <c r="F10" s="10" t="s">
        <v>310</v>
      </c>
      <c r="G10" s="10" t="s">
        <v>356</v>
      </c>
      <c r="H10" s="10" t="s">
        <v>223</v>
      </c>
      <c r="I10" s="10" t="s">
        <v>281</v>
      </c>
      <c r="J10" s="10" t="s">
        <v>226</v>
      </c>
    </row>
    <row r="11">
      <c r="A11" s="11" t="s">
        <v>372</v>
      </c>
      <c r="B11" s="11" t="s">
        <v>374</v>
      </c>
      <c r="C11" s="11" t="s">
        <v>299</v>
      </c>
      <c r="D11" s="11" t="s">
        <v>377</v>
      </c>
      <c r="E11" s="11" t="s">
        <v>350</v>
      </c>
      <c r="F11" s="11" t="s">
        <v>380</v>
      </c>
      <c r="G11" s="11" t="s">
        <v>381</v>
      </c>
      <c r="H11" s="11" t="s">
        <v>223</v>
      </c>
      <c r="I11" s="11" t="s">
        <v>179</v>
      </c>
      <c r="J11" s="11" t="s">
        <v>226</v>
      </c>
    </row>
    <row r="12">
      <c r="A12" s="10" t="s">
        <v>385</v>
      </c>
      <c r="B12" s="10" t="s">
        <v>386</v>
      </c>
      <c r="C12" s="10" t="s">
        <v>299</v>
      </c>
      <c r="D12" s="10" t="s">
        <v>390</v>
      </c>
      <c r="E12" s="10" t="s">
        <v>391</v>
      </c>
      <c r="F12" s="10" t="s">
        <v>310</v>
      </c>
      <c r="G12" s="10" t="s">
        <v>393</v>
      </c>
      <c r="H12" s="10" t="s">
        <v>276</v>
      </c>
      <c r="I12" s="10" t="s">
        <v>281</v>
      </c>
      <c r="J12" s="10" t="s">
        <v>226</v>
      </c>
    </row>
    <row r="13">
      <c r="A13" s="11" t="s">
        <v>397</v>
      </c>
      <c r="B13" s="11" t="s">
        <v>398</v>
      </c>
      <c r="C13" s="11" t="s">
        <v>299</v>
      </c>
      <c r="D13" s="11" t="s">
        <v>338</v>
      </c>
      <c r="E13" s="11" t="s">
        <v>340</v>
      </c>
      <c r="F13" s="11" t="s">
        <v>310</v>
      </c>
      <c r="G13" s="11" t="s">
        <v>402</v>
      </c>
      <c r="H13" s="11" t="s">
        <v>276</v>
      </c>
      <c r="I13" s="11" t="s">
        <v>281</v>
      </c>
      <c r="J13" s="11" t="s">
        <v>226</v>
      </c>
    </row>
    <row r="14">
      <c r="A14" s="10" t="s">
        <v>410</v>
      </c>
      <c r="B14" s="10" t="s">
        <v>411</v>
      </c>
      <c r="C14" s="10" t="s">
        <v>299</v>
      </c>
      <c r="D14" s="10" t="s">
        <v>377</v>
      </c>
      <c r="E14" s="10" t="s">
        <v>268</v>
      </c>
      <c r="F14" s="10" t="s">
        <v>415</v>
      </c>
      <c r="G14" s="10" t="s">
        <v>416</v>
      </c>
      <c r="H14" s="10" t="s">
        <v>276</v>
      </c>
      <c r="I14" s="10" t="s">
        <v>281</v>
      </c>
      <c r="J14" s="10" t="s">
        <v>226</v>
      </c>
    </row>
    <row r="15">
      <c r="A15" s="11" t="s">
        <v>419</v>
      </c>
      <c r="B15" s="11" t="s">
        <v>421</v>
      </c>
      <c r="C15" s="11" t="s">
        <v>299</v>
      </c>
      <c r="D15" s="11" t="s">
        <v>326</v>
      </c>
      <c r="E15" s="11" t="s">
        <v>327</v>
      </c>
      <c r="F15" s="11" t="s">
        <v>415</v>
      </c>
      <c r="G15" s="11" t="s">
        <v>424</v>
      </c>
      <c r="H15" s="11" t="s">
        <v>343</v>
      </c>
      <c r="I15" s="11" t="s">
        <v>281</v>
      </c>
      <c r="J15" s="11" t="s">
        <v>226</v>
      </c>
    </row>
    <row r="16">
      <c r="A16" s="10" t="s">
        <v>430</v>
      </c>
      <c r="B16" s="10" t="s">
        <v>433</v>
      </c>
      <c r="C16" s="10" t="s">
        <v>299</v>
      </c>
      <c r="D16" s="10" t="s">
        <v>234</v>
      </c>
      <c r="E16" s="10" t="s">
        <v>268</v>
      </c>
      <c r="F16" s="10" t="s">
        <v>310</v>
      </c>
      <c r="G16" s="10" t="s">
        <v>435</v>
      </c>
      <c r="H16" s="10" t="s">
        <v>223</v>
      </c>
      <c r="I16" s="10" t="s">
        <v>281</v>
      </c>
      <c r="J16" s="10" t="s">
        <v>226</v>
      </c>
    </row>
    <row r="17">
      <c r="A17" s="11" t="s">
        <v>436</v>
      </c>
      <c r="B17" s="11" t="s">
        <v>433</v>
      </c>
      <c r="C17" s="11" t="s">
        <v>299</v>
      </c>
      <c r="D17" s="11" t="s">
        <v>377</v>
      </c>
      <c r="E17" s="11" t="s">
        <v>350</v>
      </c>
      <c r="F17" s="11" t="s">
        <v>310</v>
      </c>
      <c r="G17" s="11" t="s">
        <v>437</v>
      </c>
      <c r="H17" s="11" t="s">
        <v>276</v>
      </c>
      <c r="I17" s="11" t="s">
        <v>281</v>
      </c>
      <c r="J17" s="11" t="s">
        <v>226</v>
      </c>
    </row>
    <row r="18">
      <c r="A18" s="10" t="s">
        <v>438</v>
      </c>
      <c r="B18" s="10" t="s">
        <v>439</v>
      </c>
      <c r="C18" s="10" t="s">
        <v>299</v>
      </c>
      <c r="D18" s="10" t="s">
        <v>234</v>
      </c>
      <c r="E18" s="10" t="s">
        <v>350</v>
      </c>
      <c r="F18" s="10" t="s">
        <v>310</v>
      </c>
      <c r="G18" s="10" t="s">
        <v>435</v>
      </c>
      <c r="H18" s="10" t="s">
        <v>223</v>
      </c>
      <c r="I18" s="10" t="s">
        <v>281</v>
      </c>
      <c r="J18" s="10" t="s">
        <v>226</v>
      </c>
    </row>
    <row r="19">
      <c r="A19" s="11" t="s">
        <v>440</v>
      </c>
      <c r="B19" s="11" t="s">
        <v>441</v>
      </c>
      <c r="C19" s="11" t="s">
        <v>299</v>
      </c>
      <c r="D19" s="11" t="s">
        <v>377</v>
      </c>
      <c r="E19" s="11" t="s">
        <v>350</v>
      </c>
      <c r="F19" s="11" t="s">
        <v>380</v>
      </c>
      <c r="G19" s="11" t="s">
        <v>442</v>
      </c>
      <c r="H19" s="11" t="s">
        <v>223</v>
      </c>
      <c r="I19" s="11" t="s">
        <v>281</v>
      </c>
      <c r="J19" s="11" t="s">
        <v>226</v>
      </c>
    </row>
    <row r="20">
      <c r="A20" s="10" t="s">
        <v>443</v>
      </c>
      <c r="B20" s="10" t="s">
        <v>444</v>
      </c>
      <c r="C20" s="10" t="s">
        <v>299</v>
      </c>
      <c r="D20" s="10" t="s">
        <v>234</v>
      </c>
      <c r="E20" s="10" t="s">
        <v>350</v>
      </c>
      <c r="F20" s="10" t="s">
        <v>380</v>
      </c>
      <c r="G20" s="10" t="s">
        <v>445</v>
      </c>
      <c r="H20" s="10" t="s">
        <v>276</v>
      </c>
      <c r="I20" s="10" t="s">
        <v>281</v>
      </c>
      <c r="J20" s="10" t="s">
        <v>226</v>
      </c>
    </row>
    <row r="21">
      <c r="A21" s="11" t="s">
        <v>446</v>
      </c>
      <c r="B21" s="11" t="s">
        <v>447</v>
      </c>
      <c r="C21" s="11" t="s">
        <v>299</v>
      </c>
      <c r="D21" s="11" t="s">
        <v>234</v>
      </c>
      <c r="E21" s="11" t="s">
        <v>350</v>
      </c>
      <c r="F21" s="11" t="s">
        <v>310</v>
      </c>
      <c r="G21" s="11" t="s">
        <v>449</v>
      </c>
      <c r="H21" s="11" t="s">
        <v>223</v>
      </c>
      <c r="I21" s="11" t="s">
        <v>451</v>
      </c>
      <c r="J21" s="11" t="s">
        <v>226</v>
      </c>
    </row>
    <row r="22">
      <c r="A22" s="10" t="s">
        <v>454</v>
      </c>
      <c r="B22" s="10" t="s">
        <v>455</v>
      </c>
      <c r="C22" s="10" t="s">
        <v>299</v>
      </c>
      <c r="D22" s="10" t="s">
        <v>377</v>
      </c>
      <c r="E22" s="10" t="s">
        <v>350</v>
      </c>
      <c r="F22" s="10" t="s">
        <v>380</v>
      </c>
      <c r="G22" s="10" t="s">
        <v>456</v>
      </c>
      <c r="H22" s="10" t="s">
        <v>276</v>
      </c>
      <c r="I22" s="10" t="s">
        <v>451</v>
      </c>
      <c r="J22" s="10" t="s">
        <v>226</v>
      </c>
    </row>
    <row r="23">
      <c r="A23" s="11" t="s">
        <v>461</v>
      </c>
      <c r="B23" s="11" t="s">
        <v>463</v>
      </c>
      <c r="C23" s="11" t="s">
        <v>299</v>
      </c>
      <c r="D23" s="11" t="s">
        <v>326</v>
      </c>
      <c r="E23" s="11" t="s">
        <v>327</v>
      </c>
      <c r="F23" s="11" t="s">
        <v>310</v>
      </c>
      <c r="G23" s="11" t="s">
        <v>465</v>
      </c>
      <c r="H23" s="11" t="s">
        <v>276</v>
      </c>
      <c r="I23" s="11" t="s">
        <v>451</v>
      </c>
      <c r="J23" s="11" t="s">
        <v>226</v>
      </c>
    </row>
    <row r="24">
      <c r="A24" s="10" t="s">
        <v>469</v>
      </c>
      <c r="B24" s="10" t="s">
        <v>471</v>
      </c>
      <c r="C24" s="10" t="s">
        <v>299</v>
      </c>
      <c r="D24" s="10" t="s">
        <v>234</v>
      </c>
      <c r="E24" s="10" t="s">
        <v>268</v>
      </c>
      <c r="F24" s="10" t="s">
        <v>310</v>
      </c>
      <c r="G24" s="10" t="s">
        <v>475</v>
      </c>
      <c r="H24" s="10" t="s">
        <v>223</v>
      </c>
      <c r="I24" s="10" t="s">
        <v>451</v>
      </c>
      <c r="J24" s="10" t="s">
        <v>226</v>
      </c>
    </row>
    <row r="25">
      <c r="A25" s="11" t="s">
        <v>481</v>
      </c>
      <c r="B25" s="11" t="s">
        <v>483</v>
      </c>
      <c r="C25" s="11" t="s">
        <v>299</v>
      </c>
      <c r="D25" s="11" t="s">
        <v>326</v>
      </c>
      <c r="E25" s="11" t="s">
        <v>268</v>
      </c>
      <c r="F25" s="11" t="s">
        <v>310</v>
      </c>
      <c r="G25" s="11" t="s">
        <v>489</v>
      </c>
      <c r="H25" s="11" t="s">
        <v>276</v>
      </c>
      <c r="I25" s="11" t="s">
        <v>451</v>
      </c>
      <c r="J25" s="11" t="s">
        <v>226</v>
      </c>
    </row>
    <row r="26">
      <c r="A26" s="10" t="s">
        <v>493</v>
      </c>
      <c r="B26" s="10" t="s">
        <v>494</v>
      </c>
      <c r="C26" s="10" t="s">
        <v>299</v>
      </c>
      <c r="D26" s="10" t="s">
        <v>234</v>
      </c>
      <c r="E26" s="10" t="s">
        <v>268</v>
      </c>
      <c r="F26" s="10" t="s">
        <v>310</v>
      </c>
      <c r="G26" s="10" t="s">
        <v>497</v>
      </c>
      <c r="H26" s="10" t="s">
        <v>223</v>
      </c>
      <c r="I26" s="10" t="s">
        <v>281</v>
      </c>
      <c r="J26" s="10" t="s">
        <v>226</v>
      </c>
    </row>
    <row r="27">
      <c r="A27" s="11" t="s">
        <v>500</v>
      </c>
      <c r="B27" s="11" t="s">
        <v>502</v>
      </c>
      <c r="C27" s="11" t="s">
        <v>299</v>
      </c>
      <c r="D27" s="11" t="s">
        <v>377</v>
      </c>
      <c r="E27" s="11" t="s">
        <v>350</v>
      </c>
      <c r="F27" s="11" t="s">
        <v>380</v>
      </c>
      <c r="G27" s="11" t="s">
        <v>351</v>
      </c>
      <c r="H27" s="11" t="s">
        <v>276</v>
      </c>
      <c r="I27" s="11" t="s">
        <v>281</v>
      </c>
      <c r="J27" s="11" t="s">
        <v>226</v>
      </c>
    </row>
    <row r="28">
      <c r="A28" s="10" t="s">
        <v>507</v>
      </c>
      <c r="B28" s="10" t="s">
        <v>509</v>
      </c>
      <c r="C28" s="10" t="s">
        <v>299</v>
      </c>
      <c r="D28" s="10" t="s">
        <v>377</v>
      </c>
      <c r="E28" s="10" t="s">
        <v>327</v>
      </c>
      <c r="F28" s="10" t="s">
        <v>310</v>
      </c>
      <c r="G28" s="10" t="s">
        <v>512</v>
      </c>
      <c r="H28" s="10" t="s">
        <v>343</v>
      </c>
      <c r="I28" s="10" t="s">
        <v>281</v>
      </c>
      <c r="J28" s="10" t="s">
        <v>226</v>
      </c>
    </row>
    <row r="29">
      <c r="A29" s="11" t="s">
        <v>515</v>
      </c>
      <c r="B29" s="11" t="s">
        <v>516</v>
      </c>
      <c r="C29" s="11" t="s">
        <v>299</v>
      </c>
      <c r="D29" s="11" t="s">
        <v>234</v>
      </c>
      <c r="E29" s="11" t="s">
        <v>268</v>
      </c>
      <c r="F29" s="11" t="s">
        <v>517</v>
      </c>
      <c r="G29" s="11" t="s">
        <v>497</v>
      </c>
      <c r="H29" s="11" t="s">
        <v>276</v>
      </c>
      <c r="I29" s="11" t="s">
        <v>304</v>
      </c>
      <c r="J29" s="11" t="s">
        <v>226</v>
      </c>
    </row>
    <row r="30">
      <c r="A30" s="10" t="s">
        <v>520</v>
      </c>
      <c r="B30" s="10" t="s">
        <v>522</v>
      </c>
      <c r="C30" s="10" t="s">
        <v>299</v>
      </c>
      <c r="D30" s="10" t="s">
        <v>217</v>
      </c>
      <c r="E30" s="10" t="s">
        <v>251</v>
      </c>
      <c r="F30" s="10" t="s">
        <v>526</v>
      </c>
      <c r="G30" s="10" t="s">
        <v>527</v>
      </c>
      <c r="H30" s="10" t="s">
        <v>343</v>
      </c>
      <c r="I30" s="10" t="s">
        <v>281</v>
      </c>
      <c r="J30" s="10" t="s">
        <v>226</v>
      </c>
    </row>
    <row r="31">
      <c r="A31" s="11" t="s">
        <v>531</v>
      </c>
      <c r="B31" s="11" t="s">
        <v>533</v>
      </c>
      <c r="C31" s="11" t="s">
        <v>535</v>
      </c>
      <c r="D31" s="11" t="s">
        <v>326</v>
      </c>
      <c r="E31" s="11" t="s">
        <v>327</v>
      </c>
      <c r="F31" s="11" t="s">
        <v>517</v>
      </c>
      <c r="G31" s="11" t="s">
        <v>540</v>
      </c>
      <c r="H31" s="11" t="s">
        <v>276</v>
      </c>
      <c r="I31" s="11" t="s">
        <v>196</v>
      </c>
      <c r="J31" s="11" t="s">
        <v>226</v>
      </c>
    </row>
    <row r="32">
      <c r="A32" s="10" t="s">
        <v>543</v>
      </c>
      <c r="B32" s="10" t="s">
        <v>544</v>
      </c>
      <c r="C32" s="10" t="s">
        <v>535</v>
      </c>
      <c r="D32" s="10" t="s">
        <v>234</v>
      </c>
      <c r="E32" s="10" t="s">
        <v>350</v>
      </c>
      <c r="F32" s="10" t="s">
        <v>517</v>
      </c>
      <c r="G32" s="10" t="s">
        <v>548</v>
      </c>
      <c r="H32" s="10" t="s">
        <v>223</v>
      </c>
      <c r="I32" s="10" t="s">
        <v>196</v>
      </c>
      <c r="J32" s="10" t="s">
        <v>226</v>
      </c>
    </row>
    <row r="33">
      <c r="A33" s="11" t="s">
        <v>556</v>
      </c>
      <c r="B33" s="11" t="s">
        <v>558</v>
      </c>
      <c r="C33" s="11" t="s">
        <v>535</v>
      </c>
      <c r="D33" s="11" t="s">
        <v>377</v>
      </c>
      <c r="E33" s="11" t="s">
        <v>268</v>
      </c>
      <c r="F33" s="11" t="s">
        <v>517</v>
      </c>
      <c r="G33" s="11" t="s">
        <v>562</v>
      </c>
      <c r="H33" s="11" t="s">
        <v>276</v>
      </c>
      <c r="I33" s="11" t="s">
        <v>196</v>
      </c>
      <c r="J33" s="11" t="s">
        <v>226</v>
      </c>
    </row>
    <row r="34">
      <c r="A34" s="10" t="s">
        <v>565</v>
      </c>
      <c r="B34" s="10" t="s">
        <v>568</v>
      </c>
      <c r="C34" s="10" t="s">
        <v>535</v>
      </c>
      <c r="D34" s="10" t="s">
        <v>377</v>
      </c>
      <c r="E34" s="10" t="s">
        <v>327</v>
      </c>
      <c r="F34" s="10" t="s">
        <v>517</v>
      </c>
      <c r="G34" s="10" t="s">
        <v>571</v>
      </c>
      <c r="H34" s="10" t="s">
        <v>343</v>
      </c>
      <c r="I34" s="10" t="s">
        <v>196</v>
      </c>
      <c r="J34" s="10" t="s">
        <v>226</v>
      </c>
    </row>
    <row r="35">
      <c r="A35" s="11" t="s">
        <v>576</v>
      </c>
      <c r="B35" s="11" t="s">
        <v>578</v>
      </c>
      <c r="C35" s="11" t="s">
        <v>535</v>
      </c>
      <c r="D35" s="11" t="s">
        <v>326</v>
      </c>
      <c r="E35" s="11" t="s">
        <v>268</v>
      </c>
      <c r="F35" s="11" t="s">
        <v>517</v>
      </c>
      <c r="G35" s="11" t="s">
        <v>584</v>
      </c>
      <c r="H35" s="11" t="s">
        <v>276</v>
      </c>
      <c r="I35" s="11" t="s">
        <v>589</v>
      </c>
      <c r="J35" s="11" t="s">
        <v>226</v>
      </c>
    </row>
    <row r="36">
      <c r="A36" s="10" t="s">
        <v>593</v>
      </c>
      <c r="B36" s="10" t="s">
        <v>595</v>
      </c>
      <c r="C36" s="10" t="s">
        <v>535</v>
      </c>
      <c r="D36" s="10" t="s">
        <v>234</v>
      </c>
      <c r="E36" s="10" t="s">
        <v>350</v>
      </c>
      <c r="F36" s="10" t="s">
        <v>517</v>
      </c>
      <c r="G36" s="10" t="s">
        <v>606</v>
      </c>
      <c r="H36" s="10" t="s">
        <v>276</v>
      </c>
      <c r="I36" s="10" t="s">
        <v>589</v>
      </c>
      <c r="J36" s="10" t="s">
        <v>226</v>
      </c>
    </row>
    <row r="37">
      <c r="A37" s="11" t="s">
        <v>607</v>
      </c>
      <c r="B37" s="11" t="s">
        <v>608</v>
      </c>
      <c r="C37" s="11" t="s">
        <v>535</v>
      </c>
      <c r="D37" s="11" t="s">
        <v>338</v>
      </c>
      <c r="E37" s="11" t="s">
        <v>327</v>
      </c>
      <c r="F37" s="11" t="s">
        <v>526</v>
      </c>
      <c r="G37" s="11" t="s">
        <v>612</v>
      </c>
      <c r="H37" s="11" t="s">
        <v>223</v>
      </c>
      <c r="I37" s="11" t="s">
        <v>614</v>
      </c>
      <c r="J37" s="11" t="s">
        <v>226</v>
      </c>
    </row>
    <row r="38">
      <c r="A38" s="10" t="s">
        <v>616</v>
      </c>
      <c r="B38" s="10" t="s">
        <v>618</v>
      </c>
      <c r="C38" s="10" t="s">
        <v>535</v>
      </c>
      <c r="D38" s="10" t="s">
        <v>377</v>
      </c>
      <c r="E38" s="10" t="s">
        <v>268</v>
      </c>
      <c r="F38" s="10" t="s">
        <v>526</v>
      </c>
      <c r="G38" s="10" t="s">
        <v>402</v>
      </c>
      <c r="H38" s="10" t="s">
        <v>223</v>
      </c>
      <c r="I38" s="10" t="s">
        <v>179</v>
      </c>
      <c r="J38" s="10" t="s">
        <v>226</v>
      </c>
    </row>
    <row r="39">
      <c r="A39" s="11" t="s">
        <v>619</v>
      </c>
      <c r="B39" s="11" t="s">
        <v>620</v>
      </c>
      <c r="C39" s="11" t="s">
        <v>535</v>
      </c>
      <c r="D39" s="11" t="s">
        <v>326</v>
      </c>
      <c r="E39" s="11" t="s">
        <v>327</v>
      </c>
      <c r="F39" s="11" t="s">
        <v>526</v>
      </c>
      <c r="G39" s="11" t="s">
        <v>621</v>
      </c>
      <c r="H39" s="11" t="s">
        <v>223</v>
      </c>
      <c r="I39" s="11" t="s">
        <v>179</v>
      </c>
      <c r="J39" s="11" t="s">
        <v>226</v>
      </c>
    </row>
    <row r="40">
      <c r="A40" s="10" t="s">
        <v>622</v>
      </c>
      <c r="B40" s="10" t="s">
        <v>623</v>
      </c>
      <c r="C40" s="10" t="s">
        <v>624</v>
      </c>
      <c r="D40" s="10" t="s">
        <v>326</v>
      </c>
      <c r="E40" s="10" t="s">
        <v>327</v>
      </c>
      <c r="F40" s="10" t="s">
        <v>415</v>
      </c>
      <c r="G40" s="10" t="s">
        <v>625</v>
      </c>
      <c r="H40" s="10" t="s">
        <v>276</v>
      </c>
      <c r="I40" s="10" t="s">
        <v>626</v>
      </c>
      <c r="J40" s="10" t="s">
        <v>226</v>
      </c>
    </row>
    <row r="41">
      <c r="A41" s="11" t="s">
        <v>627</v>
      </c>
      <c r="B41" s="11" t="s">
        <v>628</v>
      </c>
      <c r="C41" s="11" t="s">
        <v>624</v>
      </c>
      <c r="D41" s="11" t="s">
        <v>234</v>
      </c>
      <c r="E41" s="11" t="s">
        <v>350</v>
      </c>
      <c r="F41" s="11" t="s">
        <v>415</v>
      </c>
      <c r="G41" s="11" t="s">
        <v>629</v>
      </c>
      <c r="H41" s="11" t="s">
        <v>276</v>
      </c>
      <c r="I41" s="11" t="s">
        <v>626</v>
      </c>
      <c r="J41" s="11" t="s">
        <v>226</v>
      </c>
    </row>
    <row r="42">
      <c r="A42" s="10" t="s">
        <v>630</v>
      </c>
      <c r="B42" s="10" t="s">
        <v>631</v>
      </c>
      <c r="C42" s="10" t="s">
        <v>624</v>
      </c>
      <c r="D42" s="10" t="s">
        <v>326</v>
      </c>
      <c r="E42" s="10" t="s">
        <v>327</v>
      </c>
      <c r="F42" s="10" t="s">
        <v>415</v>
      </c>
      <c r="G42" s="10" t="s">
        <v>632</v>
      </c>
      <c r="H42" s="10" t="s">
        <v>343</v>
      </c>
      <c r="I42" s="10" t="s">
        <v>633</v>
      </c>
      <c r="J42" s="10" t="s">
        <v>226</v>
      </c>
    </row>
    <row r="43">
      <c r="A43" s="11" t="s">
        <v>634</v>
      </c>
      <c r="B43" s="11" t="s">
        <v>635</v>
      </c>
      <c r="C43" s="11" t="s">
        <v>624</v>
      </c>
      <c r="D43" s="11" t="s">
        <v>377</v>
      </c>
      <c r="E43" s="11" t="s">
        <v>268</v>
      </c>
      <c r="F43" s="11" t="s">
        <v>415</v>
      </c>
      <c r="G43" s="11" t="s">
        <v>636</v>
      </c>
      <c r="H43" s="11" t="s">
        <v>343</v>
      </c>
      <c r="I43" s="11" t="s">
        <v>626</v>
      </c>
      <c r="J43" s="11" t="s">
        <v>226</v>
      </c>
    </row>
    <row r="44">
      <c r="A44" s="10" t="s">
        <v>637</v>
      </c>
      <c r="B44" s="10" t="s">
        <v>638</v>
      </c>
      <c r="C44" s="10" t="s">
        <v>624</v>
      </c>
      <c r="D44" s="10" t="s">
        <v>326</v>
      </c>
      <c r="E44" s="10" t="s">
        <v>327</v>
      </c>
      <c r="F44" s="10" t="s">
        <v>415</v>
      </c>
      <c r="G44" s="10" t="s">
        <v>639</v>
      </c>
      <c r="H44" s="10" t="s">
        <v>343</v>
      </c>
      <c r="I44" s="10" t="s">
        <v>295</v>
      </c>
      <c r="J44" s="10" t="s">
        <v>226</v>
      </c>
    </row>
    <row r="45">
      <c r="A45" s="11" t="s">
        <v>640</v>
      </c>
      <c r="B45" s="11" t="s">
        <v>641</v>
      </c>
      <c r="C45" s="11" t="s">
        <v>642</v>
      </c>
      <c r="D45" s="11" t="s">
        <v>234</v>
      </c>
      <c r="E45" s="11" t="s">
        <v>350</v>
      </c>
      <c r="F45" s="11" t="s">
        <v>415</v>
      </c>
      <c r="G45" s="11" t="s">
        <v>435</v>
      </c>
      <c r="H45" s="11" t="s">
        <v>223</v>
      </c>
      <c r="I45" s="11" t="s">
        <v>643</v>
      </c>
      <c r="J45" s="11" t="s">
        <v>226</v>
      </c>
    </row>
    <row r="46">
      <c r="A46" s="10" t="s">
        <v>644</v>
      </c>
      <c r="B46" s="10" t="s">
        <v>645</v>
      </c>
      <c r="C46" s="10" t="s">
        <v>642</v>
      </c>
      <c r="D46" s="10" t="s">
        <v>326</v>
      </c>
      <c r="E46" s="10" t="s">
        <v>327</v>
      </c>
      <c r="F46" s="10" t="s">
        <v>415</v>
      </c>
      <c r="G46" s="10" t="s">
        <v>646</v>
      </c>
      <c r="H46" s="10" t="s">
        <v>223</v>
      </c>
      <c r="I46" s="10" t="s">
        <v>643</v>
      </c>
      <c r="J46" s="10" t="s">
        <v>226</v>
      </c>
    </row>
    <row r="47">
      <c r="A47" s="11" t="s">
        <v>650</v>
      </c>
      <c r="B47" s="11" t="s">
        <v>651</v>
      </c>
      <c r="C47" s="11" t="s">
        <v>642</v>
      </c>
      <c r="D47" s="11" t="s">
        <v>377</v>
      </c>
      <c r="E47" s="11" t="s">
        <v>350</v>
      </c>
      <c r="F47" s="11" t="s">
        <v>380</v>
      </c>
      <c r="G47" s="11" t="s">
        <v>653</v>
      </c>
      <c r="H47" s="11" t="s">
        <v>276</v>
      </c>
      <c r="I47" s="11" t="s">
        <v>643</v>
      </c>
      <c r="J47" s="11" t="s">
        <v>226</v>
      </c>
    </row>
    <row r="48">
      <c r="A48" s="10" t="s">
        <v>659</v>
      </c>
      <c r="B48" s="10" t="s">
        <v>660</v>
      </c>
      <c r="C48" s="10" t="s">
        <v>642</v>
      </c>
      <c r="D48" s="10" t="s">
        <v>326</v>
      </c>
      <c r="E48" s="10" t="s">
        <v>327</v>
      </c>
      <c r="F48" s="10" t="s">
        <v>415</v>
      </c>
      <c r="G48" s="10" t="s">
        <v>665</v>
      </c>
      <c r="H48" s="10" t="s">
        <v>276</v>
      </c>
      <c r="I48" s="10" t="s">
        <v>666</v>
      </c>
      <c r="J48" s="10" t="s">
        <v>226</v>
      </c>
    </row>
    <row r="49">
      <c r="A49" s="11" t="s">
        <v>671</v>
      </c>
      <c r="B49" s="11" t="s">
        <v>672</v>
      </c>
      <c r="C49" s="11" t="s">
        <v>642</v>
      </c>
      <c r="D49" s="11" t="s">
        <v>234</v>
      </c>
      <c r="E49" s="11" t="s">
        <v>350</v>
      </c>
      <c r="F49" s="11" t="s">
        <v>415</v>
      </c>
      <c r="G49" s="11" t="s">
        <v>676</v>
      </c>
      <c r="H49" s="11" t="s">
        <v>276</v>
      </c>
      <c r="I49" s="11" t="s">
        <v>196</v>
      </c>
      <c r="J49" s="11" t="s">
        <v>226</v>
      </c>
    </row>
    <row r="50">
      <c r="A50" s="10" t="s">
        <v>680</v>
      </c>
      <c r="B50" s="10" t="s">
        <v>682</v>
      </c>
      <c r="C50" s="10" t="s">
        <v>642</v>
      </c>
      <c r="D50" s="10" t="s">
        <v>326</v>
      </c>
      <c r="E50" s="10" t="s">
        <v>327</v>
      </c>
      <c r="F50" s="10" t="s">
        <v>415</v>
      </c>
      <c r="G50" s="10" t="s">
        <v>571</v>
      </c>
      <c r="H50" s="10" t="s">
        <v>343</v>
      </c>
      <c r="I50" s="10" t="s">
        <v>196</v>
      </c>
      <c r="J50" s="10" t="s">
        <v>226</v>
      </c>
    </row>
    <row r="51">
      <c r="A51" s="11" t="s">
        <v>689</v>
      </c>
      <c r="B51" s="11" t="s">
        <v>691</v>
      </c>
      <c r="C51" s="11" t="s">
        <v>642</v>
      </c>
      <c r="D51" s="11" t="s">
        <v>234</v>
      </c>
      <c r="E51" s="11" t="s">
        <v>251</v>
      </c>
      <c r="F51" s="11" t="s">
        <v>415</v>
      </c>
      <c r="G51" s="11" t="s">
        <v>606</v>
      </c>
      <c r="H51" s="11" t="s">
        <v>276</v>
      </c>
      <c r="I51" s="11" t="s">
        <v>179</v>
      </c>
      <c r="J51" s="11" t="s">
        <v>226</v>
      </c>
    </row>
    <row r="52">
      <c r="A52" s="10" t="s">
        <v>698</v>
      </c>
      <c r="B52" s="10" t="s">
        <v>700</v>
      </c>
      <c r="C52" s="10" t="s">
        <v>642</v>
      </c>
      <c r="D52" s="10" t="s">
        <v>217</v>
      </c>
      <c r="E52" s="10" t="s">
        <v>268</v>
      </c>
      <c r="F52" s="10" t="s">
        <v>221</v>
      </c>
      <c r="G52" s="10" t="s">
        <v>704</v>
      </c>
      <c r="H52" s="10" t="s">
        <v>343</v>
      </c>
      <c r="I52" s="10" t="s">
        <v>706</v>
      </c>
      <c r="J52" s="10" t="s">
        <v>226</v>
      </c>
    </row>
    <row r="53">
      <c r="A53" s="11" t="s">
        <v>709</v>
      </c>
      <c r="B53" s="11" t="s">
        <v>711</v>
      </c>
      <c r="C53" s="11" t="s">
        <v>714</v>
      </c>
      <c r="D53" s="11" t="s">
        <v>338</v>
      </c>
      <c r="E53" s="11" t="s">
        <v>327</v>
      </c>
      <c r="F53" s="11" t="s">
        <v>526</v>
      </c>
      <c r="G53" s="11" t="s">
        <v>717</v>
      </c>
      <c r="H53" s="11" t="s">
        <v>223</v>
      </c>
      <c r="I53" s="11" t="s">
        <v>626</v>
      </c>
      <c r="J53" s="11" t="s">
        <v>226</v>
      </c>
    </row>
    <row r="54">
      <c r="A54" s="10" t="s">
        <v>722</v>
      </c>
      <c r="B54" s="10" t="s">
        <v>724</v>
      </c>
      <c r="C54" s="10" t="s">
        <v>714</v>
      </c>
      <c r="D54" s="10" t="s">
        <v>377</v>
      </c>
      <c r="E54" s="10" t="s">
        <v>268</v>
      </c>
      <c r="F54" s="10" t="s">
        <v>526</v>
      </c>
      <c r="G54" s="10" t="s">
        <v>729</v>
      </c>
      <c r="H54" s="10" t="s">
        <v>276</v>
      </c>
      <c r="I54" s="10" t="s">
        <v>626</v>
      </c>
      <c r="J54" s="10" t="s">
        <v>226</v>
      </c>
    </row>
    <row r="55">
      <c r="A55" s="11" t="s">
        <v>735</v>
      </c>
      <c r="B55" s="11" t="s">
        <v>736</v>
      </c>
      <c r="C55" s="11" t="s">
        <v>714</v>
      </c>
      <c r="D55" s="11" t="s">
        <v>338</v>
      </c>
      <c r="E55" s="11" t="s">
        <v>327</v>
      </c>
      <c r="F55" s="11" t="s">
        <v>526</v>
      </c>
      <c r="G55" s="11" t="s">
        <v>741</v>
      </c>
      <c r="H55" s="11" t="s">
        <v>276</v>
      </c>
      <c r="I55" s="11" t="s">
        <v>196</v>
      </c>
      <c r="J55" s="11" t="s">
        <v>226</v>
      </c>
    </row>
    <row r="56">
      <c r="A56" s="10" t="s">
        <v>742</v>
      </c>
      <c r="B56" s="10" t="s">
        <v>743</v>
      </c>
      <c r="C56" s="10" t="s">
        <v>714</v>
      </c>
      <c r="D56" s="10" t="s">
        <v>326</v>
      </c>
      <c r="E56" s="10" t="s">
        <v>327</v>
      </c>
      <c r="F56" s="10" t="s">
        <v>526</v>
      </c>
      <c r="G56" s="10" t="s">
        <v>744</v>
      </c>
      <c r="H56" s="10" t="s">
        <v>343</v>
      </c>
      <c r="I56" s="10" t="s">
        <v>179</v>
      </c>
      <c r="J56" s="10" t="s">
        <v>226</v>
      </c>
    </row>
    <row r="57">
      <c r="A57" s="11" t="s">
        <v>745</v>
      </c>
      <c r="B57" s="11" t="s">
        <v>746</v>
      </c>
      <c r="C57" s="11" t="s">
        <v>714</v>
      </c>
      <c r="D57" s="11" t="s">
        <v>326</v>
      </c>
      <c r="E57" s="11" t="s">
        <v>327</v>
      </c>
      <c r="F57" s="11" t="s">
        <v>415</v>
      </c>
      <c r="G57" s="11" t="s">
        <v>747</v>
      </c>
      <c r="H57" s="11" t="s">
        <v>343</v>
      </c>
      <c r="I57" s="11" t="s">
        <v>196</v>
      </c>
      <c r="J57" s="11" t="s">
        <v>226</v>
      </c>
    </row>
    <row r="58">
      <c r="A58" s="10" t="s">
        <v>748</v>
      </c>
      <c r="B58" s="10" t="s">
        <v>749</v>
      </c>
      <c r="C58" s="10" t="s">
        <v>714</v>
      </c>
      <c r="D58" s="10" t="s">
        <v>377</v>
      </c>
      <c r="E58" s="10" t="s">
        <v>268</v>
      </c>
      <c r="F58" s="10" t="s">
        <v>526</v>
      </c>
      <c r="G58" s="10" t="s">
        <v>750</v>
      </c>
      <c r="H58" s="10" t="s">
        <v>343</v>
      </c>
      <c r="I58" s="10" t="s">
        <v>643</v>
      </c>
      <c r="J58" s="10" t="s">
        <v>226</v>
      </c>
    </row>
    <row r="59">
      <c r="A59" s="11" t="s">
        <v>751</v>
      </c>
      <c r="B59" s="11" t="s">
        <v>752</v>
      </c>
      <c r="C59" s="11" t="s">
        <v>753</v>
      </c>
      <c r="D59" s="11" t="s">
        <v>377</v>
      </c>
      <c r="E59" s="11" t="s">
        <v>754</v>
      </c>
      <c r="F59" s="11" t="s">
        <v>221</v>
      </c>
      <c r="G59" s="11" t="s">
        <v>755</v>
      </c>
      <c r="H59" s="11" t="s">
        <v>276</v>
      </c>
      <c r="I59" s="11" t="s">
        <v>179</v>
      </c>
      <c r="J59" s="11" t="s">
        <v>226</v>
      </c>
    </row>
    <row r="60">
      <c r="A60" s="10" t="s">
        <v>756</v>
      </c>
      <c r="B60" s="10" t="s">
        <v>757</v>
      </c>
      <c r="C60" s="10" t="s">
        <v>753</v>
      </c>
      <c r="D60" s="10" t="s">
        <v>377</v>
      </c>
      <c r="E60" s="10" t="s">
        <v>754</v>
      </c>
      <c r="F60" s="10" t="s">
        <v>380</v>
      </c>
      <c r="G60" s="10" t="s">
        <v>758</v>
      </c>
      <c r="H60" s="10" t="s">
        <v>223</v>
      </c>
      <c r="I60" s="10" t="s">
        <v>187</v>
      </c>
      <c r="J60" s="10" t="s">
        <v>226</v>
      </c>
    </row>
    <row r="61">
      <c r="A61" s="11" t="s">
        <v>759</v>
      </c>
      <c r="B61" s="11" t="s">
        <v>760</v>
      </c>
      <c r="C61" s="11" t="s">
        <v>753</v>
      </c>
      <c r="D61" s="11" t="s">
        <v>217</v>
      </c>
      <c r="E61" s="11" t="s">
        <v>251</v>
      </c>
      <c r="F61" s="11" t="s">
        <v>526</v>
      </c>
      <c r="G61" s="11" t="s">
        <v>761</v>
      </c>
      <c r="H61" s="11" t="s">
        <v>223</v>
      </c>
      <c r="I61" s="11" t="s">
        <v>187</v>
      </c>
      <c r="J61" s="11" t="s">
        <v>226</v>
      </c>
    </row>
    <row r="62">
      <c r="A62" s="10" t="s">
        <v>762</v>
      </c>
      <c r="B62" s="10" t="s">
        <v>763</v>
      </c>
      <c r="C62" s="10" t="s">
        <v>753</v>
      </c>
      <c r="D62" s="10" t="s">
        <v>338</v>
      </c>
      <c r="E62" s="10" t="s">
        <v>754</v>
      </c>
      <c r="F62" s="10" t="s">
        <v>221</v>
      </c>
      <c r="G62" s="10" t="s">
        <v>764</v>
      </c>
      <c r="H62" s="10" t="s">
        <v>276</v>
      </c>
      <c r="I62" s="10" t="s">
        <v>179</v>
      </c>
      <c r="J62" s="10" t="s">
        <v>226</v>
      </c>
    </row>
    <row r="63">
      <c r="A63" s="11" t="s">
        <v>765</v>
      </c>
      <c r="B63" s="11" t="s">
        <v>766</v>
      </c>
      <c r="C63" s="11" t="s">
        <v>753</v>
      </c>
      <c r="D63" s="11" t="s">
        <v>234</v>
      </c>
      <c r="E63" s="11" t="s">
        <v>268</v>
      </c>
      <c r="F63" s="11" t="s">
        <v>526</v>
      </c>
      <c r="G63" s="11" t="s">
        <v>497</v>
      </c>
      <c r="H63" s="11" t="s">
        <v>276</v>
      </c>
      <c r="I63" s="11" t="s">
        <v>767</v>
      </c>
      <c r="J63" s="11" t="s">
        <v>226</v>
      </c>
    </row>
    <row r="64">
      <c r="A64" s="10" t="s">
        <v>768</v>
      </c>
      <c r="B64" s="10" t="s">
        <v>769</v>
      </c>
      <c r="C64" s="10" t="s">
        <v>753</v>
      </c>
      <c r="D64" s="10" t="s">
        <v>217</v>
      </c>
      <c r="E64" s="10" t="s">
        <v>754</v>
      </c>
      <c r="F64" s="10" t="s">
        <v>221</v>
      </c>
      <c r="G64" s="10" t="s">
        <v>272</v>
      </c>
      <c r="H64" s="10" t="s">
        <v>276</v>
      </c>
      <c r="I64" s="10" t="s">
        <v>179</v>
      </c>
      <c r="J64" s="10" t="s">
        <v>226</v>
      </c>
    </row>
    <row r="65"/>
    <row r="66">
      <c r="A66" s="13" t="s">
        <v>770</v>
      </c>
    </row>
    <row r="67">
      <c r="A67" s="14" t="s">
        <v>223</v>
      </c>
      <c r="C67" s="15">
        <f>COUNTIF(H2:H64,"P0")</f>
        <v>22</v>
      </c>
    </row>
    <row r="68">
      <c r="A68" s="14" t="s">
        <v>276</v>
      </c>
      <c r="C68" s="15">
        <f>COUNTIF(H2:H64,"P1")</f>
        <v>28</v>
      </c>
    </row>
    <row r="69">
      <c r="A69" s="14" t="s">
        <v>343</v>
      </c>
      <c r="C69" s="15">
        <f>COUNTIF(H2:H64,"P2")</f>
        <v>13</v>
      </c>
    </row>
    <row r="70">
      <c r="A70" s="14" t="s">
        <v>771</v>
      </c>
      <c r="C70" s="14">
        <f>COUNTA(A2:A64)</f>
        <v>63</v>
      </c>
    </row>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31.5"/>
    <col customWidth="1" min="3" max="3" width="28.0"/>
    <col customWidth="1" min="4" max="4" width="10.5"/>
    <col customWidth="1" min="5" max="5" width="28.0"/>
    <col customWidth="1" min="6" max="6" width="22.75"/>
    <col customWidth="1" min="7" max="7" width="8.75"/>
    <col customWidth="1" min="8" max="8" width="10.5"/>
    <col customWidth="1" min="9" max="26" width="7.63"/>
  </cols>
  <sheetData>
    <row r="1" ht="33.75" customHeight="1">
      <c r="A1" s="5" t="s">
        <v>205</v>
      </c>
      <c r="B1" s="5" t="s">
        <v>207</v>
      </c>
      <c r="C1" s="5" t="s">
        <v>209</v>
      </c>
      <c r="D1" s="5" t="s">
        <v>213</v>
      </c>
      <c r="E1" s="5" t="s">
        <v>216</v>
      </c>
      <c r="F1" s="5" t="s">
        <v>220</v>
      </c>
      <c r="G1" s="5" t="s">
        <v>199</v>
      </c>
      <c r="H1" s="5" t="s">
        <v>203</v>
      </c>
    </row>
    <row r="2">
      <c r="A2" s="10" t="s">
        <v>232</v>
      </c>
      <c r="B2" s="10" t="s">
        <v>16</v>
      </c>
      <c r="C2" s="10" t="s">
        <v>236</v>
      </c>
      <c r="D2" s="10" t="s">
        <v>238</v>
      </c>
      <c r="E2" s="10" t="s">
        <v>240</v>
      </c>
      <c r="F2" s="10" t="s">
        <v>242</v>
      </c>
      <c r="G2" s="10" t="s">
        <v>223</v>
      </c>
      <c r="H2" s="10" t="s">
        <v>226</v>
      </c>
    </row>
    <row r="3">
      <c r="A3" s="11" t="s">
        <v>249</v>
      </c>
      <c r="B3" s="11" t="s">
        <v>252</v>
      </c>
      <c r="C3" s="11" t="s">
        <v>253</v>
      </c>
      <c r="D3" s="11" t="s">
        <v>255</v>
      </c>
      <c r="E3" s="11" t="s">
        <v>257</v>
      </c>
      <c r="F3" s="11" t="s">
        <v>258</v>
      </c>
      <c r="G3" s="11" t="s">
        <v>223</v>
      </c>
      <c r="H3" s="11" t="s">
        <v>226</v>
      </c>
    </row>
    <row r="4">
      <c r="A4" s="10" t="s">
        <v>264</v>
      </c>
      <c r="B4" s="10" t="s">
        <v>265</v>
      </c>
      <c r="C4" s="10" t="s">
        <v>267</v>
      </c>
      <c r="D4" s="10" t="s">
        <v>270</v>
      </c>
      <c r="E4" s="10" t="s">
        <v>271</v>
      </c>
      <c r="F4" s="10" t="s">
        <v>258</v>
      </c>
      <c r="G4" s="10" t="s">
        <v>223</v>
      </c>
      <c r="H4" s="10" t="s">
        <v>226</v>
      </c>
    </row>
    <row r="5">
      <c r="A5" s="11" t="s">
        <v>278</v>
      </c>
      <c r="B5" s="11" t="s">
        <v>280</v>
      </c>
      <c r="C5" s="11" t="s">
        <v>282</v>
      </c>
      <c r="D5" s="11" t="s">
        <v>284</v>
      </c>
      <c r="E5" s="11" t="s">
        <v>287</v>
      </c>
      <c r="F5" s="11" t="s">
        <v>258</v>
      </c>
      <c r="G5" s="11" t="s">
        <v>223</v>
      </c>
      <c r="H5" s="11" t="s">
        <v>226</v>
      </c>
    </row>
    <row r="6">
      <c r="A6" s="10" t="s">
        <v>288</v>
      </c>
      <c r="B6" s="10" t="s">
        <v>290</v>
      </c>
      <c r="C6" s="10" t="s">
        <v>294</v>
      </c>
      <c r="D6" s="10" t="s">
        <v>270</v>
      </c>
      <c r="E6" s="10" t="s">
        <v>296</v>
      </c>
      <c r="F6" s="10" t="s">
        <v>258</v>
      </c>
      <c r="G6" s="10" t="s">
        <v>223</v>
      </c>
      <c r="H6" s="10" t="s">
        <v>226</v>
      </c>
    </row>
    <row r="7">
      <c r="A7" s="11" t="s">
        <v>303</v>
      </c>
      <c r="B7" s="11" t="s">
        <v>305</v>
      </c>
      <c r="C7" s="11" t="s">
        <v>307</v>
      </c>
      <c r="D7" s="11" t="s">
        <v>284</v>
      </c>
      <c r="E7" s="11" t="s">
        <v>311</v>
      </c>
      <c r="F7" s="11" t="s">
        <v>258</v>
      </c>
      <c r="G7" s="11" t="s">
        <v>276</v>
      </c>
      <c r="H7" s="11" t="s">
        <v>226</v>
      </c>
    </row>
    <row r="8">
      <c r="A8" s="10" t="s">
        <v>315</v>
      </c>
      <c r="B8" s="10" t="s">
        <v>316</v>
      </c>
      <c r="C8" s="10" t="s">
        <v>318</v>
      </c>
      <c r="D8" s="10" t="s">
        <v>284</v>
      </c>
      <c r="E8" s="10" t="s">
        <v>322</v>
      </c>
      <c r="F8" s="10" t="s">
        <v>258</v>
      </c>
      <c r="G8" s="10" t="s">
        <v>276</v>
      </c>
      <c r="H8" s="10" t="s">
        <v>226</v>
      </c>
    </row>
    <row r="9">
      <c r="A9" s="11" t="s">
        <v>328</v>
      </c>
      <c r="B9" s="11" t="s">
        <v>330</v>
      </c>
      <c r="C9" s="11" t="s">
        <v>331</v>
      </c>
      <c r="D9" s="11" t="s">
        <v>332</v>
      </c>
      <c r="E9" s="11" t="s">
        <v>333</v>
      </c>
      <c r="F9" s="11" t="s">
        <v>258</v>
      </c>
      <c r="G9" s="11" t="s">
        <v>276</v>
      </c>
      <c r="H9" s="11" t="s">
        <v>226</v>
      </c>
    </row>
    <row r="10">
      <c r="A10" s="10" t="s">
        <v>336</v>
      </c>
      <c r="B10" s="10" t="s">
        <v>337</v>
      </c>
      <c r="C10" s="10" t="s">
        <v>339</v>
      </c>
      <c r="D10" s="10" t="s">
        <v>332</v>
      </c>
      <c r="E10" s="10" t="s">
        <v>341</v>
      </c>
      <c r="F10" s="10" t="s">
        <v>258</v>
      </c>
      <c r="G10" s="10" t="s">
        <v>223</v>
      </c>
      <c r="H10" s="10" t="s">
        <v>226</v>
      </c>
    </row>
    <row r="11">
      <c r="A11" s="11" t="s">
        <v>344</v>
      </c>
      <c r="B11" s="11" t="s">
        <v>345</v>
      </c>
      <c r="C11" s="11" t="s">
        <v>347</v>
      </c>
      <c r="D11" s="11" t="s">
        <v>284</v>
      </c>
      <c r="E11" s="11" t="s">
        <v>349</v>
      </c>
      <c r="F11" s="11" t="s">
        <v>258</v>
      </c>
      <c r="G11" s="11" t="s">
        <v>276</v>
      </c>
      <c r="H11" s="11" t="s">
        <v>226</v>
      </c>
    </row>
    <row r="12">
      <c r="A12" s="10" t="s">
        <v>352</v>
      </c>
      <c r="B12" s="10" t="s">
        <v>353</v>
      </c>
      <c r="C12" s="10" t="s">
        <v>355</v>
      </c>
      <c r="D12" s="10" t="s">
        <v>284</v>
      </c>
      <c r="E12" s="10" t="s">
        <v>357</v>
      </c>
      <c r="F12" s="10" t="s">
        <v>258</v>
      </c>
      <c r="G12" s="10" t="s">
        <v>276</v>
      </c>
      <c r="H12" s="10" t="s">
        <v>226</v>
      </c>
    </row>
    <row r="13">
      <c r="A13" s="11" t="s">
        <v>358</v>
      </c>
      <c r="B13" s="11" t="s">
        <v>359</v>
      </c>
      <c r="C13" s="11" t="s">
        <v>360</v>
      </c>
      <c r="D13" s="11" t="s">
        <v>361</v>
      </c>
      <c r="E13" s="11" t="s">
        <v>362</v>
      </c>
      <c r="F13" s="11" t="s">
        <v>258</v>
      </c>
      <c r="G13" s="11" t="s">
        <v>223</v>
      </c>
      <c r="H13" s="11" t="s">
        <v>226</v>
      </c>
    </row>
    <row r="14">
      <c r="A14" s="10" t="s">
        <v>363</v>
      </c>
      <c r="B14" s="10" t="s">
        <v>364</v>
      </c>
      <c r="C14" s="10" t="s">
        <v>365</v>
      </c>
      <c r="D14" s="10" t="s">
        <v>366</v>
      </c>
      <c r="E14" s="10" t="s">
        <v>367</v>
      </c>
      <c r="F14" s="10" t="s">
        <v>258</v>
      </c>
      <c r="G14" s="10" t="s">
        <v>276</v>
      </c>
      <c r="H14" s="10" t="s">
        <v>226</v>
      </c>
    </row>
    <row r="15">
      <c r="A15" s="11" t="s">
        <v>368</v>
      </c>
      <c r="B15" s="11" t="s">
        <v>369</v>
      </c>
      <c r="C15" s="11" t="s">
        <v>370</v>
      </c>
      <c r="D15" s="11" t="s">
        <v>332</v>
      </c>
      <c r="E15" s="11" t="s">
        <v>371</v>
      </c>
      <c r="F15" s="11" t="s">
        <v>258</v>
      </c>
      <c r="G15" s="11" t="s">
        <v>276</v>
      </c>
      <c r="H15" s="11" t="s">
        <v>226</v>
      </c>
    </row>
    <row r="16">
      <c r="A16" s="10" t="s">
        <v>373</v>
      </c>
      <c r="B16" s="10" t="s">
        <v>375</v>
      </c>
      <c r="C16" s="10" t="s">
        <v>376</v>
      </c>
      <c r="D16" s="10" t="s">
        <v>378</v>
      </c>
      <c r="E16" s="10" t="s">
        <v>379</v>
      </c>
      <c r="F16" s="10" t="s">
        <v>258</v>
      </c>
      <c r="G16" s="10" t="s">
        <v>276</v>
      </c>
      <c r="H16" s="10" t="s">
        <v>226</v>
      </c>
    </row>
    <row r="17">
      <c r="A17" s="11" t="s">
        <v>382</v>
      </c>
      <c r="B17" s="11" t="s">
        <v>383</v>
      </c>
      <c r="C17" s="11" t="s">
        <v>384</v>
      </c>
      <c r="D17" s="11" t="s">
        <v>366</v>
      </c>
      <c r="E17" s="11" t="s">
        <v>240</v>
      </c>
      <c r="F17" s="11" t="s">
        <v>10</v>
      </c>
      <c r="G17" s="11" t="s">
        <v>223</v>
      </c>
      <c r="H17" s="11" t="s">
        <v>226</v>
      </c>
    </row>
    <row r="18">
      <c r="A18" s="10" t="s">
        <v>387</v>
      </c>
      <c r="B18" s="10" t="s">
        <v>388</v>
      </c>
      <c r="C18" s="10" t="s">
        <v>389</v>
      </c>
      <c r="D18" s="10" t="s">
        <v>270</v>
      </c>
      <c r="E18" s="10" t="s">
        <v>392</v>
      </c>
      <c r="F18" s="10" t="s">
        <v>258</v>
      </c>
      <c r="G18" s="10" t="s">
        <v>276</v>
      </c>
      <c r="H18" s="10" t="s">
        <v>226</v>
      </c>
    </row>
    <row r="19">
      <c r="A19" s="11" t="s">
        <v>394</v>
      </c>
      <c r="B19" s="11" t="s">
        <v>395</v>
      </c>
      <c r="C19" s="11" t="s">
        <v>396</v>
      </c>
      <c r="D19" s="11" t="s">
        <v>378</v>
      </c>
      <c r="E19" s="11" t="s">
        <v>399</v>
      </c>
      <c r="F19" s="11" t="s">
        <v>10</v>
      </c>
      <c r="G19" s="11" t="s">
        <v>276</v>
      </c>
      <c r="H19" s="11" t="s">
        <v>226</v>
      </c>
    </row>
    <row r="20">
      <c r="A20" s="10" t="s">
        <v>400</v>
      </c>
      <c r="B20" s="10" t="s">
        <v>401</v>
      </c>
      <c r="C20" s="10" t="s">
        <v>403</v>
      </c>
      <c r="D20" s="10" t="s">
        <v>378</v>
      </c>
      <c r="E20" s="10" t="s">
        <v>404</v>
      </c>
      <c r="F20" s="10" t="s">
        <v>258</v>
      </c>
      <c r="G20" s="10" t="s">
        <v>343</v>
      </c>
      <c r="H20" s="10" t="s">
        <v>226</v>
      </c>
    </row>
    <row r="21">
      <c r="A21" s="11" t="s">
        <v>405</v>
      </c>
      <c r="B21" s="11" t="s">
        <v>406</v>
      </c>
      <c r="C21" s="11" t="s">
        <v>407</v>
      </c>
      <c r="D21" s="11" t="s">
        <v>408</v>
      </c>
      <c r="E21" s="11" t="s">
        <v>409</v>
      </c>
      <c r="F21" s="11" t="s">
        <v>11</v>
      </c>
      <c r="G21" s="11" t="s">
        <v>223</v>
      </c>
      <c r="H21" s="11" t="s">
        <v>226</v>
      </c>
    </row>
    <row r="22">
      <c r="A22" s="10" t="s">
        <v>412</v>
      </c>
      <c r="B22" s="10" t="s">
        <v>413</v>
      </c>
      <c r="C22" s="10" t="s">
        <v>414</v>
      </c>
      <c r="D22" s="10" t="s">
        <v>378</v>
      </c>
      <c r="E22" s="10" t="s">
        <v>417</v>
      </c>
      <c r="F22" s="10" t="s">
        <v>258</v>
      </c>
      <c r="G22" s="10" t="s">
        <v>343</v>
      </c>
      <c r="H22" s="10" t="s">
        <v>226</v>
      </c>
    </row>
    <row r="23">
      <c r="A23" s="11" t="s">
        <v>418</v>
      </c>
      <c r="B23" s="11" t="s">
        <v>420</v>
      </c>
      <c r="C23" s="11" t="s">
        <v>422</v>
      </c>
      <c r="D23" s="11" t="s">
        <v>284</v>
      </c>
      <c r="E23" s="11" t="s">
        <v>423</v>
      </c>
      <c r="F23" s="11" t="s">
        <v>258</v>
      </c>
      <c r="G23" s="11" t="s">
        <v>343</v>
      </c>
      <c r="H23" s="11" t="s">
        <v>226</v>
      </c>
    </row>
    <row r="24">
      <c r="A24" s="10" t="s">
        <v>425</v>
      </c>
      <c r="B24" s="10" t="s">
        <v>426</v>
      </c>
      <c r="C24" s="10" t="s">
        <v>427</v>
      </c>
      <c r="D24" s="10" t="s">
        <v>378</v>
      </c>
      <c r="E24" s="10" t="s">
        <v>428</v>
      </c>
      <c r="F24" s="10" t="s">
        <v>258</v>
      </c>
      <c r="G24" s="10" t="s">
        <v>276</v>
      </c>
      <c r="H24" s="10" t="s">
        <v>226</v>
      </c>
    </row>
    <row r="25">
      <c r="A25" s="11" t="s">
        <v>429</v>
      </c>
      <c r="B25" s="11" t="s">
        <v>431</v>
      </c>
      <c r="C25" s="11" t="s">
        <v>432</v>
      </c>
      <c r="D25" s="11" t="s">
        <v>378</v>
      </c>
      <c r="E25" s="11" t="s">
        <v>434</v>
      </c>
      <c r="F25" s="11" t="s">
        <v>258</v>
      </c>
      <c r="G25" s="11" t="s">
        <v>343</v>
      </c>
      <c r="H25" s="11" t="s">
        <v>226</v>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4.5"/>
    <col customWidth="1" min="3" max="3" width="43.75"/>
    <col customWidth="1" min="4" max="5" width="22.75"/>
    <col customWidth="1" min="6" max="6" width="8.75"/>
    <col customWidth="1" min="7" max="7" width="10.5"/>
    <col customWidth="1" min="8" max="26" width="7.63"/>
  </cols>
  <sheetData>
    <row r="1" ht="33.75" customHeight="1">
      <c r="A1" s="5" t="s">
        <v>205</v>
      </c>
      <c r="B1" s="5" t="s">
        <v>448</v>
      </c>
      <c r="C1" s="5" t="s">
        <v>450</v>
      </c>
      <c r="D1" s="5" t="s">
        <v>452</v>
      </c>
      <c r="E1" s="5" t="s">
        <v>453</v>
      </c>
      <c r="F1" s="5" t="s">
        <v>199</v>
      </c>
      <c r="G1" s="5" t="s">
        <v>203</v>
      </c>
    </row>
    <row r="2">
      <c r="A2" s="10" t="s">
        <v>457</v>
      </c>
      <c r="B2" s="10" t="s">
        <v>458</v>
      </c>
      <c r="C2" s="10" t="s">
        <v>459</v>
      </c>
      <c r="D2" s="10" t="s">
        <v>460</v>
      </c>
      <c r="E2" s="10" t="s">
        <v>462</v>
      </c>
      <c r="F2" s="10" t="s">
        <v>223</v>
      </c>
      <c r="G2" s="10" t="s">
        <v>464</v>
      </c>
    </row>
    <row r="3">
      <c r="A3" s="11" t="s">
        <v>466</v>
      </c>
      <c r="B3" s="11" t="s">
        <v>467</v>
      </c>
      <c r="C3" s="11" t="s">
        <v>468</v>
      </c>
      <c r="D3" s="11" t="s">
        <v>470</v>
      </c>
      <c r="E3" s="11" t="s">
        <v>472</v>
      </c>
      <c r="F3" s="11" t="s">
        <v>223</v>
      </c>
      <c r="G3" s="11" t="s">
        <v>473</v>
      </c>
    </row>
    <row r="4">
      <c r="A4" s="10" t="s">
        <v>474</v>
      </c>
      <c r="B4" s="10" t="s">
        <v>476</v>
      </c>
      <c r="C4" s="10" t="s">
        <v>477</v>
      </c>
      <c r="D4" s="10" t="s">
        <v>478</v>
      </c>
      <c r="E4" s="10" t="s">
        <v>479</v>
      </c>
      <c r="F4" s="10" t="s">
        <v>223</v>
      </c>
      <c r="G4" s="10" t="s">
        <v>480</v>
      </c>
    </row>
    <row r="5">
      <c r="A5" s="11" t="s">
        <v>482</v>
      </c>
      <c r="B5" s="11" t="s">
        <v>484</v>
      </c>
      <c r="C5" s="11" t="s">
        <v>485</v>
      </c>
      <c r="D5" s="11" t="s">
        <v>486</v>
      </c>
      <c r="E5" s="11" t="s">
        <v>487</v>
      </c>
      <c r="F5" s="11" t="s">
        <v>276</v>
      </c>
      <c r="G5" s="11" t="s">
        <v>473</v>
      </c>
    </row>
    <row r="6">
      <c r="A6" s="10" t="s">
        <v>488</v>
      </c>
      <c r="B6" s="10" t="s">
        <v>490</v>
      </c>
      <c r="C6" s="10" t="s">
        <v>491</v>
      </c>
      <c r="D6" s="10" t="s">
        <v>478</v>
      </c>
      <c r="E6" s="10" t="s">
        <v>492</v>
      </c>
      <c r="F6" s="10" t="s">
        <v>223</v>
      </c>
      <c r="G6" s="10" t="s">
        <v>480</v>
      </c>
    </row>
    <row r="7">
      <c r="A7" s="11" t="s">
        <v>495</v>
      </c>
      <c r="B7" s="11" t="s">
        <v>496</v>
      </c>
      <c r="C7" s="11" t="s">
        <v>498</v>
      </c>
      <c r="D7" s="11" t="s">
        <v>470</v>
      </c>
      <c r="E7" s="11" t="s">
        <v>499</v>
      </c>
      <c r="F7" s="11" t="s">
        <v>276</v>
      </c>
      <c r="G7" s="11" t="s">
        <v>473</v>
      </c>
    </row>
    <row r="8">
      <c r="A8" s="10" t="s">
        <v>501</v>
      </c>
      <c r="B8" s="10" t="s">
        <v>503</v>
      </c>
      <c r="C8" s="10" t="s">
        <v>504</v>
      </c>
      <c r="D8" s="10" t="s">
        <v>478</v>
      </c>
      <c r="E8" s="10" t="s">
        <v>505</v>
      </c>
      <c r="F8" s="10" t="s">
        <v>223</v>
      </c>
      <c r="G8" s="10" t="s">
        <v>480</v>
      </c>
    </row>
    <row r="9">
      <c r="A9" s="11" t="s">
        <v>506</v>
      </c>
      <c r="B9" s="11" t="s">
        <v>508</v>
      </c>
      <c r="C9" s="11" t="s">
        <v>510</v>
      </c>
      <c r="D9" s="11" t="s">
        <v>478</v>
      </c>
      <c r="E9" s="11" t="s">
        <v>511</v>
      </c>
      <c r="F9" s="11" t="s">
        <v>276</v>
      </c>
      <c r="G9" s="11" t="s">
        <v>480</v>
      </c>
    </row>
    <row r="10">
      <c r="A10" s="10" t="s">
        <v>513</v>
      </c>
      <c r="B10" s="10" t="s">
        <v>235</v>
      </c>
      <c r="C10" s="10" t="s">
        <v>514</v>
      </c>
      <c r="D10" s="10" t="s">
        <v>478</v>
      </c>
      <c r="E10" s="10" t="s">
        <v>479</v>
      </c>
      <c r="F10" s="10" t="s">
        <v>223</v>
      </c>
      <c r="G10" s="10" t="s">
        <v>480</v>
      </c>
    </row>
    <row r="11">
      <c r="A11" s="11" t="s">
        <v>518</v>
      </c>
      <c r="B11" s="11" t="s">
        <v>248</v>
      </c>
      <c r="C11" s="11" t="s">
        <v>519</v>
      </c>
      <c r="D11" s="11" t="s">
        <v>478</v>
      </c>
      <c r="E11" s="11" t="s">
        <v>521</v>
      </c>
      <c r="F11" s="11" t="s">
        <v>276</v>
      </c>
      <c r="G11" s="11" t="s">
        <v>480</v>
      </c>
    </row>
    <row r="12">
      <c r="A12" s="10" t="s">
        <v>525</v>
      </c>
      <c r="B12" s="10" t="s">
        <v>528</v>
      </c>
      <c r="C12" s="10" t="s">
        <v>529</v>
      </c>
      <c r="D12" s="10" t="s">
        <v>530</v>
      </c>
      <c r="E12" s="10" t="s">
        <v>532</v>
      </c>
      <c r="F12" s="10" t="s">
        <v>223</v>
      </c>
      <c r="G12" s="10" t="s">
        <v>473</v>
      </c>
    </row>
    <row r="13">
      <c r="A13" s="11" t="s">
        <v>538</v>
      </c>
      <c r="B13" s="11" t="s">
        <v>289</v>
      </c>
      <c r="C13" s="11" t="s">
        <v>541</v>
      </c>
      <c r="D13" s="11" t="s">
        <v>470</v>
      </c>
      <c r="E13" s="11" t="s">
        <v>499</v>
      </c>
      <c r="F13" s="11" t="s">
        <v>276</v>
      </c>
      <c r="G13" s="11" t="s">
        <v>473</v>
      </c>
    </row>
    <row r="14">
      <c r="A14" s="10" t="s">
        <v>547</v>
      </c>
      <c r="B14" s="10" t="s">
        <v>550</v>
      </c>
      <c r="C14" s="10" t="s">
        <v>552</v>
      </c>
      <c r="D14" s="10" t="s">
        <v>554</v>
      </c>
      <c r="E14" s="10" t="s">
        <v>557</v>
      </c>
      <c r="F14" s="10" t="s">
        <v>276</v>
      </c>
      <c r="G14" s="10" t="s">
        <v>464</v>
      </c>
    </row>
    <row r="15">
      <c r="A15" s="11" t="s">
        <v>564</v>
      </c>
      <c r="B15" s="11" t="s">
        <v>298</v>
      </c>
      <c r="C15" s="11" t="s">
        <v>567</v>
      </c>
      <c r="D15" s="11" t="s">
        <v>470</v>
      </c>
      <c r="E15" s="11" t="s">
        <v>479</v>
      </c>
      <c r="F15" s="11" t="s">
        <v>276</v>
      </c>
      <c r="G15" s="11" t="s">
        <v>473</v>
      </c>
    </row>
    <row r="16">
      <c r="A16" s="10" t="s">
        <v>574</v>
      </c>
      <c r="B16" s="10" t="s">
        <v>577</v>
      </c>
      <c r="C16" s="10" t="s">
        <v>579</v>
      </c>
      <c r="D16" s="10" t="s">
        <v>478</v>
      </c>
      <c r="E16" s="10" t="s">
        <v>582</v>
      </c>
      <c r="F16" s="10" t="s">
        <v>223</v>
      </c>
      <c r="G16" s="10" t="s">
        <v>480</v>
      </c>
    </row>
    <row r="17">
      <c r="A17" s="11" t="s">
        <v>585</v>
      </c>
      <c r="B17" s="11" t="s">
        <v>588</v>
      </c>
      <c r="C17" s="11" t="s">
        <v>592</v>
      </c>
      <c r="D17" s="11" t="s">
        <v>478</v>
      </c>
      <c r="E17" s="11" t="s">
        <v>596</v>
      </c>
      <c r="F17" s="11" t="s">
        <v>276</v>
      </c>
      <c r="G17" s="11" t="s">
        <v>480</v>
      </c>
    </row>
    <row r="18">
      <c r="A18" s="10" t="s">
        <v>599</v>
      </c>
      <c r="B18" s="10" t="s">
        <v>601</v>
      </c>
      <c r="C18" s="10" t="s">
        <v>604</v>
      </c>
      <c r="D18" s="10" t="s">
        <v>478</v>
      </c>
      <c r="E18" s="10" t="s">
        <v>499</v>
      </c>
      <c r="F18" s="10" t="s">
        <v>276</v>
      </c>
      <c r="G18" s="10" t="s">
        <v>480</v>
      </c>
    </row>
    <row r="19">
      <c r="A19" s="11" t="s">
        <v>609</v>
      </c>
      <c r="B19" s="11" t="s">
        <v>610</v>
      </c>
      <c r="C19" s="11" t="s">
        <v>611</v>
      </c>
      <c r="D19" s="11" t="s">
        <v>613</v>
      </c>
      <c r="E19" s="11" t="s">
        <v>615</v>
      </c>
      <c r="F19" s="11" t="s">
        <v>223</v>
      </c>
      <c r="G19" s="11" t="s">
        <v>617</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8.0"/>
    <col customWidth="1" min="3" max="3" width="56.0"/>
    <col customWidth="1" min="4" max="4" width="21.0"/>
    <col customWidth="1" min="5" max="5" width="8.75"/>
    <col customWidth="1" min="6" max="6" width="10.5"/>
    <col customWidth="1" min="7" max="26" width="7.63"/>
  </cols>
  <sheetData>
    <row r="1" ht="33.75" customHeight="1">
      <c r="A1" s="5" t="s">
        <v>205</v>
      </c>
      <c r="B1" s="5" t="s">
        <v>523</v>
      </c>
      <c r="C1" s="5" t="s">
        <v>524</v>
      </c>
      <c r="D1" s="5" t="s">
        <v>452</v>
      </c>
      <c r="E1" s="5" t="s">
        <v>199</v>
      </c>
      <c r="F1" s="5" t="s">
        <v>203</v>
      </c>
    </row>
    <row r="2">
      <c r="A2" s="10" t="s">
        <v>534</v>
      </c>
      <c r="B2" s="10" t="s">
        <v>536</v>
      </c>
      <c r="C2" s="10" t="s">
        <v>537</v>
      </c>
      <c r="D2" s="10" t="s">
        <v>539</v>
      </c>
      <c r="E2" s="10" t="s">
        <v>223</v>
      </c>
      <c r="F2" s="10" t="s">
        <v>464</v>
      </c>
    </row>
    <row r="3">
      <c r="A3" s="11" t="s">
        <v>542</v>
      </c>
      <c r="B3" s="11" t="s">
        <v>545</v>
      </c>
      <c r="C3" s="11" t="s">
        <v>546</v>
      </c>
      <c r="D3" s="11" t="s">
        <v>478</v>
      </c>
      <c r="E3" s="11" t="s">
        <v>223</v>
      </c>
      <c r="F3" s="11" t="s">
        <v>480</v>
      </c>
    </row>
    <row r="4">
      <c r="A4" s="10" t="s">
        <v>549</v>
      </c>
      <c r="B4" s="10" t="s">
        <v>551</v>
      </c>
      <c r="C4" s="10" t="s">
        <v>553</v>
      </c>
      <c r="D4" s="10" t="s">
        <v>555</v>
      </c>
      <c r="E4" s="10" t="s">
        <v>223</v>
      </c>
      <c r="F4" s="10" t="s">
        <v>480</v>
      </c>
    </row>
    <row r="5">
      <c r="A5" s="11" t="s">
        <v>559</v>
      </c>
      <c r="B5" s="11" t="s">
        <v>560</v>
      </c>
      <c r="C5" s="11" t="s">
        <v>561</v>
      </c>
      <c r="D5" s="11" t="s">
        <v>563</v>
      </c>
      <c r="E5" s="11" t="s">
        <v>223</v>
      </c>
      <c r="F5" s="11" t="s">
        <v>473</v>
      </c>
    </row>
    <row r="6">
      <c r="A6" s="10" t="s">
        <v>566</v>
      </c>
      <c r="B6" s="10" t="s">
        <v>569</v>
      </c>
      <c r="C6" s="10" t="s">
        <v>570</v>
      </c>
      <c r="D6" s="10" t="s">
        <v>554</v>
      </c>
      <c r="E6" s="10" t="s">
        <v>276</v>
      </c>
      <c r="F6" s="10" t="s">
        <v>464</v>
      </c>
    </row>
    <row r="7">
      <c r="A7" s="11" t="s">
        <v>572</v>
      </c>
      <c r="B7" s="11" t="s">
        <v>573</v>
      </c>
      <c r="C7" s="11" t="s">
        <v>575</v>
      </c>
      <c r="D7" s="11" t="s">
        <v>554</v>
      </c>
      <c r="E7" s="11" t="s">
        <v>276</v>
      </c>
      <c r="F7" s="11" t="s">
        <v>464</v>
      </c>
    </row>
    <row r="8">
      <c r="A8" s="10" t="s">
        <v>580</v>
      </c>
      <c r="B8" s="10" t="s">
        <v>581</v>
      </c>
      <c r="C8" s="10" t="s">
        <v>583</v>
      </c>
      <c r="D8" s="10" t="s">
        <v>478</v>
      </c>
      <c r="E8" s="10" t="s">
        <v>223</v>
      </c>
      <c r="F8" s="10" t="s">
        <v>480</v>
      </c>
    </row>
    <row r="9">
      <c r="A9" s="11" t="s">
        <v>586</v>
      </c>
      <c r="B9" s="11" t="s">
        <v>587</v>
      </c>
      <c r="C9" s="11" t="s">
        <v>590</v>
      </c>
      <c r="D9" s="11" t="s">
        <v>591</v>
      </c>
      <c r="E9" s="11" t="s">
        <v>276</v>
      </c>
      <c r="F9" s="11" t="s">
        <v>473</v>
      </c>
    </row>
    <row r="10">
      <c r="A10" s="10" t="s">
        <v>594</v>
      </c>
      <c r="B10" s="10" t="s">
        <v>597</v>
      </c>
      <c r="C10" s="10" t="s">
        <v>598</v>
      </c>
      <c r="D10" s="10" t="s">
        <v>554</v>
      </c>
      <c r="E10" s="10" t="s">
        <v>276</v>
      </c>
      <c r="F10" s="10" t="s">
        <v>464</v>
      </c>
    </row>
    <row r="11">
      <c r="A11" s="11" t="s">
        <v>600</v>
      </c>
      <c r="B11" s="11" t="s">
        <v>602</v>
      </c>
      <c r="C11" s="11" t="s">
        <v>603</v>
      </c>
      <c r="D11" s="11" t="s">
        <v>605</v>
      </c>
      <c r="E11" s="11" t="s">
        <v>276</v>
      </c>
      <c r="F11" s="11" t="s">
        <v>480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2.75"/>
    <col customWidth="1" min="3" max="3" width="38.5"/>
    <col customWidth="1" min="4" max="4" width="26.25"/>
    <col customWidth="1" min="5" max="5" width="14.0"/>
    <col customWidth="1" min="6" max="6" width="8.75"/>
    <col customWidth="1" min="7" max="7" width="10.5"/>
    <col customWidth="1" min="8" max="26" width="7.63"/>
  </cols>
  <sheetData>
    <row r="1" ht="33.75" customHeight="1">
      <c r="A1" s="5" t="s">
        <v>205</v>
      </c>
      <c r="B1" s="5" t="s">
        <v>647</v>
      </c>
      <c r="C1" s="5" t="s">
        <v>648</v>
      </c>
      <c r="D1" s="5" t="s">
        <v>180</v>
      </c>
      <c r="E1" s="5" t="s">
        <v>649</v>
      </c>
      <c r="F1" s="5" t="s">
        <v>199</v>
      </c>
      <c r="G1" s="5" t="s">
        <v>203</v>
      </c>
    </row>
    <row r="2">
      <c r="A2" s="10" t="s">
        <v>652</v>
      </c>
      <c r="B2" s="10" t="s">
        <v>654</v>
      </c>
      <c r="C2" s="10" t="s">
        <v>655</v>
      </c>
      <c r="D2" s="10" t="s">
        <v>656</v>
      </c>
      <c r="E2" s="10" t="s">
        <v>657</v>
      </c>
      <c r="F2" s="10" t="s">
        <v>223</v>
      </c>
      <c r="G2" s="10" t="s">
        <v>658</v>
      </c>
    </row>
    <row r="3">
      <c r="A3" s="11" t="s">
        <v>661</v>
      </c>
      <c r="B3" s="11" t="s">
        <v>662</v>
      </c>
      <c r="C3" s="11" t="s">
        <v>663</v>
      </c>
      <c r="D3" s="11" t="s">
        <v>664</v>
      </c>
      <c r="E3" s="11" t="s">
        <v>657</v>
      </c>
      <c r="F3" s="11" t="s">
        <v>223</v>
      </c>
      <c r="G3" s="11" t="s">
        <v>464</v>
      </c>
    </row>
    <row r="4">
      <c r="A4" s="10" t="s">
        <v>667</v>
      </c>
      <c r="B4" s="10" t="s">
        <v>668</v>
      </c>
      <c r="C4" s="10" t="s">
        <v>669</v>
      </c>
      <c r="D4" s="10" t="s">
        <v>670</v>
      </c>
      <c r="E4" s="10" t="s">
        <v>657</v>
      </c>
      <c r="F4" s="10" t="s">
        <v>223</v>
      </c>
      <c r="G4" s="10" t="s">
        <v>480</v>
      </c>
    </row>
    <row r="5">
      <c r="A5" s="11" t="s">
        <v>673</v>
      </c>
      <c r="B5" s="11" t="s">
        <v>295</v>
      </c>
      <c r="C5" s="11" t="s">
        <v>674</v>
      </c>
      <c r="D5" s="11" t="s">
        <v>675</v>
      </c>
      <c r="E5" s="11" t="s">
        <v>657</v>
      </c>
      <c r="F5" s="11" t="s">
        <v>223</v>
      </c>
      <c r="G5" s="11" t="s">
        <v>677</v>
      </c>
    </row>
    <row r="6">
      <c r="A6" s="10" t="s">
        <v>678</v>
      </c>
      <c r="B6" s="10" t="s">
        <v>679</v>
      </c>
      <c r="C6" s="10" t="s">
        <v>681</v>
      </c>
      <c r="D6" s="10" t="s">
        <v>683</v>
      </c>
      <c r="E6" s="10" t="s">
        <v>657</v>
      </c>
      <c r="F6" s="10" t="s">
        <v>276</v>
      </c>
      <c r="G6" s="10" t="s">
        <v>464</v>
      </c>
    </row>
    <row r="7">
      <c r="A7" s="11" t="s">
        <v>684</v>
      </c>
      <c r="B7" s="11" t="s">
        <v>685</v>
      </c>
      <c r="C7" s="11" t="s">
        <v>686</v>
      </c>
      <c r="D7" s="11" t="s">
        <v>687</v>
      </c>
      <c r="E7" s="11" t="s">
        <v>657</v>
      </c>
      <c r="F7" s="11" t="s">
        <v>276</v>
      </c>
      <c r="G7" s="11" t="s">
        <v>464</v>
      </c>
    </row>
    <row r="8">
      <c r="A8" s="10" t="s">
        <v>688</v>
      </c>
      <c r="B8" s="10" t="s">
        <v>690</v>
      </c>
      <c r="C8" s="10" t="s">
        <v>692</v>
      </c>
      <c r="D8" s="10" t="s">
        <v>693</v>
      </c>
      <c r="E8" s="10" t="s">
        <v>657</v>
      </c>
      <c r="F8" s="10" t="s">
        <v>276</v>
      </c>
      <c r="G8" s="10" t="s">
        <v>464</v>
      </c>
    </row>
    <row r="9">
      <c r="A9" s="11" t="s">
        <v>694</v>
      </c>
      <c r="B9" s="11" t="s">
        <v>695</v>
      </c>
      <c r="C9" s="11" t="s">
        <v>696</v>
      </c>
      <c r="D9" s="11" t="s">
        <v>697</v>
      </c>
      <c r="E9" s="11" t="s">
        <v>657</v>
      </c>
      <c r="F9" s="11" t="s">
        <v>223</v>
      </c>
      <c r="G9" s="11" t="s">
        <v>464</v>
      </c>
    </row>
    <row r="10">
      <c r="A10" s="10" t="s">
        <v>699</v>
      </c>
      <c r="B10" s="10" t="s">
        <v>695</v>
      </c>
      <c r="C10" s="10" t="s">
        <v>701</v>
      </c>
      <c r="D10" s="10" t="s">
        <v>702</v>
      </c>
      <c r="E10" s="10" t="s">
        <v>657</v>
      </c>
      <c r="F10" s="10" t="s">
        <v>276</v>
      </c>
      <c r="G10" s="10" t="s">
        <v>473</v>
      </c>
    </row>
    <row r="11">
      <c r="A11" s="11" t="s">
        <v>703</v>
      </c>
      <c r="B11" s="11" t="s">
        <v>458</v>
      </c>
      <c r="C11" s="11" t="s">
        <v>705</v>
      </c>
      <c r="D11" s="11" t="s">
        <v>707</v>
      </c>
      <c r="E11" s="11" t="s">
        <v>708</v>
      </c>
      <c r="F11" s="11" t="s">
        <v>223</v>
      </c>
      <c r="G11" s="11" t="s">
        <v>464</v>
      </c>
    </row>
    <row r="12">
      <c r="A12" s="10" t="s">
        <v>710</v>
      </c>
      <c r="B12" s="10" t="s">
        <v>712</v>
      </c>
      <c r="C12" s="10" t="s">
        <v>713</v>
      </c>
      <c r="D12" s="10" t="s">
        <v>715</v>
      </c>
      <c r="E12" s="10" t="s">
        <v>657</v>
      </c>
      <c r="F12" s="10" t="s">
        <v>276</v>
      </c>
      <c r="G12" s="10" t="s">
        <v>480</v>
      </c>
    </row>
    <row r="13">
      <c r="A13" s="11" t="s">
        <v>716</v>
      </c>
      <c r="B13" s="11" t="s">
        <v>718</v>
      </c>
      <c r="C13" s="11" t="s">
        <v>719</v>
      </c>
      <c r="D13" s="11" t="s">
        <v>720</v>
      </c>
      <c r="E13" s="11" t="s">
        <v>721</v>
      </c>
      <c r="F13" s="11" t="s">
        <v>276</v>
      </c>
      <c r="G13" s="11" t="s">
        <v>723</v>
      </c>
    </row>
    <row r="14">
      <c r="A14" s="10" t="s">
        <v>725</v>
      </c>
      <c r="B14" s="10" t="s">
        <v>726</v>
      </c>
      <c r="C14" s="10" t="s">
        <v>727</v>
      </c>
      <c r="D14" s="10" t="s">
        <v>728</v>
      </c>
      <c r="E14" s="10" t="s">
        <v>708</v>
      </c>
      <c r="F14" s="10" t="s">
        <v>223</v>
      </c>
      <c r="G14" s="10" t="s">
        <v>480</v>
      </c>
    </row>
    <row r="15">
      <c r="A15" s="11" t="s">
        <v>730</v>
      </c>
      <c r="B15" s="11" t="s">
        <v>731</v>
      </c>
      <c r="C15" s="11" t="s">
        <v>732</v>
      </c>
      <c r="D15" s="11" t="s">
        <v>733</v>
      </c>
      <c r="E15" s="11" t="s">
        <v>734</v>
      </c>
      <c r="F15" s="11" t="s">
        <v>343</v>
      </c>
      <c r="G15" s="11" t="s">
        <v>480</v>
      </c>
    </row>
    <row r="16">
      <c r="A16" s="10" t="s">
        <v>737</v>
      </c>
      <c r="B16" s="10" t="s">
        <v>738</v>
      </c>
      <c r="C16" s="10" t="s">
        <v>739</v>
      </c>
      <c r="D16" s="10" t="s">
        <v>740</v>
      </c>
      <c r="E16" s="10" t="s">
        <v>734</v>
      </c>
      <c r="F16" s="10" t="s">
        <v>223</v>
      </c>
      <c r="G16" s="10" t="s">
        <v>480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2" max="3" width="28.0"/>
    <col customWidth="1" min="4" max="4" width="14.0"/>
    <col customWidth="1" min="5" max="5" width="50.75"/>
    <col customWidth="1" min="6" max="26" width="7.63"/>
  </cols>
  <sheetData>
    <row r="1" ht="33.75" customHeight="1">
      <c r="A1" s="5" t="s">
        <v>772</v>
      </c>
      <c r="B1" s="5" t="s">
        <v>774</v>
      </c>
      <c r="C1" s="5" t="s">
        <v>776</v>
      </c>
      <c r="D1" s="5" t="s">
        <v>203</v>
      </c>
      <c r="E1" s="5" t="s">
        <v>779</v>
      </c>
    </row>
    <row r="2">
      <c r="A2" s="10" t="s">
        <v>781</v>
      </c>
      <c r="B2" s="10" t="s">
        <v>782</v>
      </c>
      <c r="C2" s="10" t="s">
        <v>783</v>
      </c>
      <c r="D2" s="10" t="s">
        <v>784</v>
      </c>
      <c r="E2" s="10"/>
    </row>
    <row r="3">
      <c r="A3" s="11" t="s">
        <v>788</v>
      </c>
      <c r="B3" s="11" t="s">
        <v>789</v>
      </c>
      <c r="C3" s="11" t="s">
        <v>783</v>
      </c>
      <c r="D3" s="11" t="s">
        <v>784</v>
      </c>
      <c r="E3" s="11" t="s">
        <v>791</v>
      </c>
    </row>
    <row r="4">
      <c r="A4" s="16" t="s">
        <v>794</v>
      </c>
      <c r="B4" s="16" t="s">
        <v>801</v>
      </c>
      <c r="C4" s="16" t="s">
        <v>802</v>
      </c>
      <c r="D4" s="17" t="s">
        <v>803</v>
      </c>
      <c r="E4" s="16" t="s">
        <v>806</v>
      </c>
    </row>
    <row r="5">
      <c r="A5" s="11" t="s">
        <v>807</v>
      </c>
      <c r="B5" s="11" t="s">
        <v>809</v>
      </c>
      <c r="C5" s="11" t="s">
        <v>810</v>
      </c>
      <c r="D5" s="11" t="s">
        <v>811</v>
      </c>
      <c r="E5" s="11" t="s">
        <v>812</v>
      </c>
    </row>
    <row r="6">
      <c r="A6" s="10" t="s">
        <v>814</v>
      </c>
      <c r="B6" s="10" t="s">
        <v>816</v>
      </c>
      <c r="C6" s="10" t="s">
        <v>817</v>
      </c>
      <c r="D6" s="10" t="s">
        <v>819</v>
      </c>
      <c r="E6" s="10" t="s">
        <v>820</v>
      </c>
    </row>
    <row r="7">
      <c r="A7" s="11" t="s">
        <v>822</v>
      </c>
      <c r="B7" s="11" t="s">
        <v>823</v>
      </c>
      <c r="C7" s="11" t="s">
        <v>824</v>
      </c>
      <c r="D7" s="11" t="s">
        <v>825</v>
      </c>
      <c r="E7" s="11" t="s">
        <v>826</v>
      </c>
    </row>
    <row r="8">
      <c r="A8" s="10" t="s">
        <v>827</v>
      </c>
      <c r="B8" s="10" t="s">
        <v>828</v>
      </c>
      <c r="C8" s="10" t="s">
        <v>830</v>
      </c>
      <c r="D8" s="10" t="s">
        <v>819</v>
      </c>
      <c r="E8" s="10" t="s">
        <v>833</v>
      </c>
    </row>
    <row r="9">
      <c r="A9" s="11" t="s">
        <v>835</v>
      </c>
      <c r="B9" s="11" t="s">
        <v>836</v>
      </c>
      <c r="C9" s="11" t="s">
        <v>837</v>
      </c>
      <c r="D9" s="11" t="s">
        <v>819</v>
      </c>
      <c r="E9" s="11" t="s">
        <v>839</v>
      </c>
    </row>
    <row r="10">
      <c r="A10" s="10" t="s">
        <v>841</v>
      </c>
      <c r="B10" s="10" t="s">
        <v>842</v>
      </c>
      <c r="C10" s="10" t="s">
        <v>844</v>
      </c>
      <c r="D10" s="10" t="s">
        <v>819</v>
      </c>
      <c r="E10" s="10" t="s">
        <v>845</v>
      </c>
    </row>
    <row r="11">
      <c r="A11" s="11" t="s">
        <v>846</v>
      </c>
      <c r="B11" s="11" t="s">
        <v>848</v>
      </c>
      <c r="C11" s="11" t="s">
        <v>849</v>
      </c>
      <c r="D11" s="11" t="s">
        <v>784</v>
      </c>
      <c r="E11" s="11" t="s">
        <v>851</v>
      </c>
    </row>
    <row r="12">
      <c r="A12" s="10" t="s">
        <v>853</v>
      </c>
      <c r="B12" s="10" t="s">
        <v>854</v>
      </c>
      <c r="C12" s="10" t="s">
        <v>856</v>
      </c>
      <c r="D12" s="10" t="s">
        <v>784</v>
      </c>
      <c r="E12" s="10" t="s">
        <v>857</v>
      </c>
    </row>
    <row r="13">
      <c r="A13" s="11" t="s">
        <v>858</v>
      </c>
      <c r="B13" s="11" t="s">
        <v>859</v>
      </c>
      <c r="C13" s="11" t="s">
        <v>856</v>
      </c>
      <c r="D13" s="11" t="s">
        <v>784</v>
      </c>
      <c r="E13" s="11"/>
    </row>
    <row r="14">
      <c r="A14" s="10" t="s">
        <v>863</v>
      </c>
      <c r="B14" s="10" t="s">
        <v>865</v>
      </c>
      <c r="C14" s="10" t="s">
        <v>856</v>
      </c>
      <c r="D14" s="10" t="s">
        <v>784</v>
      </c>
      <c r="E14" s="10"/>
    </row>
    <row r="15">
      <c r="A15" s="11" t="s">
        <v>867</v>
      </c>
      <c r="B15" s="11" t="s">
        <v>868</v>
      </c>
      <c r="C15" s="11" t="s">
        <v>870</v>
      </c>
      <c r="D15" s="11" t="s">
        <v>784</v>
      </c>
      <c r="E15" s="11"/>
    </row>
    <row r="16">
      <c r="A16" s="10" t="s">
        <v>873</v>
      </c>
      <c r="B16" s="10" t="s">
        <v>875</v>
      </c>
      <c r="C16" s="10" t="s">
        <v>870</v>
      </c>
      <c r="D16" s="10" t="s">
        <v>784</v>
      </c>
      <c r="E16" s="10"/>
    </row>
    <row r="17">
      <c r="A17" s="11" t="s">
        <v>879</v>
      </c>
      <c r="B17" s="11" t="s">
        <v>880</v>
      </c>
      <c r="C17" s="11" t="s">
        <v>870</v>
      </c>
      <c r="D17" s="11" t="s">
        <v>784</v>
      </c>
      <c r="E17" s="11"/>
    </row>
    <row r="18">
      <c r="A18" s="10" t="s">
        <v>883</v>
      </c>
      <c r="B18" s="10" t="s">
        <v>885</v>
      </c>
      <c r="C18" s="10" t="s">
        <v>856</v>
      </c>
      <c r="D18" s="10" t="s">
        <v>784</v>
      </c>
      <c r="E18" s="10" t="s">
        <v>887</v>
      </c>
    </row>
    <row r="19">
      <c r="A19" s="11" t="s">
        <v>888</v>
      </c>
      <c r="B19" s="11" t="s">
        <v>890</v>
      </c>
      <c r="C19" s="11" t="s">
        <v>856</v>
      </c>
      <c r="D19" s="11" t="s">
        <v>784</v>
      </c>
      <c r="E19" s="11" t="s">
        <v>891</v>
      </c>
    </row>
    <row r="20">
      <c r="A20" s="10" t="s">
        <v>893</v>
      </c>
      <c r="B20" s="10" t="s">
        <v>894</v>
      </c>
      <c r="C20" s="10" t="s">
        <v>895</v>
      </c>
      <c r="D20" s="10" t="s">
        <v>811</v>
      </c>
      <c r="E20" s="10" t="s">
        <v>897</v>
      </c>
    </row>
    <row r="21">
      <c r="A21" s="11" t="s">
        <v>898</v>
      </c>
      <c r="B21" s="11" t="s">
        <v>900</v>
      </c>
      <c r="C21" s="11" t="s">
        <v>901</v>
      </c>
      <c r="D21" s="11" t="s">
        <v>903</v>
      </c>
      <c r="E21" s="11" t="s">
        <v>904</v>
      </c>
    </row>
    <row r="22">
      <c r="A22" s="10" t="s">
        <v>905</v>
      </c>
      <c r="B22" s="10" t="s">
        <v>906</v>
      </c>
      <c r="C22" s="10" t="s">
        <v>901</v>
      </c>
      <c r="D22" s="10" t="s">
        <v>903</v>
      </c>
      <c r="E22" s="10" t="s">
        <v>909</v>
      </c>
    </row>
    <row r="23">
      <c r="A23" s="16" t="s">
        <v>911</v>
      </c>
      <c r="B23" s="16" t="s">
        <v>913</v>
      </c>
      <c r="C23" s="16" t="s">
        <v>914</v>
      </c>
      <c r="D23" s="17" t="s">
        <v>915</v>
      </c>
      <c r="E23" s="16" t="s">
        <v>916</v>
      </c>
    </row>
    <row r="24">
      <c r="A24" s="16" t="s">
        <v>917</v>
      </c>
      <c r="B24" s="16" t="s">
        <v>918</v>
      </c>
      <c r="C24" s="16" t="s">
        <v>919</v>
      </c>
      <c r="D24" s="17" t="s">
        <v>915</v>
      </c>
      <c r="E24" s="16" t="s">
        <v>920</v>
      </c>
    </row>
    <row r="25">
      <c r="A25" s="16" t="s">
        <v>921</v>
      </c>
      <c r="B25" s="16" t="s">
        <v>922</v>
      </c>
      <c r="C25" s="16" t="s">
        <v>919</v>
      </c>
      <c r="D25" s="17" t="s">
        <v>915</v>
      </c>
      <c r="E25" s="16" t="s">
        <v>923</v>
      </c>
    </row>
    <row r="26">
      <c r="A26" s="16" t="s">
        <v>924</v>
      </c>
      <c r="B26" s="16" t="s">
        <v>925</v>
      </c>
      <c r="C26" s="16" t="s">
        <v>919</v>
      </c>
      <c r="D26" s="17" t="s">
        <v>926</v>
      </c>
      <c r="E26" s="16" t="s">
        <v>927</v>
      </c>
    </row>
    <row r="27">
      <c r="A27" s="11" t="s">
        <v>928</v>
      </c>
      <c r="B27" s="11" t="s">
        <v>929</v>
      </c>
      <c r="C27" s="11" t="s">
        <v>930</v>
      </c>
      <c r="D27" s="11" t="s">
        <v>784</v>
      </c>
      <c r="E27" s="11" t="s">
        <v>931</v>
      </c>
    </row>
    <row r="28">
      <c r="A28" s="10" t="s">
        <v>932</v>
      </c>
      <c r="B28" s="10" t="s">
        <v>933</v>
      </c>
      <c r="C28" s="10" t="s">
        <v>934</v>
      </c>
      <c r="D28" s="10" t="s">
        <v>784</v>
      </c>
      <c r="E28" s="10"/>
    </row>
    <row r="29">
      <c r="A29" s="11" t="s">
        <v>935</v>
      </c>
      <c r="B29" s="11" t="s">
        <v>936</v>
      </c>
      <c r="C29" s="11" t="s">
        <v>937</v>
      </c>
      <c r="D29" s="11" t="s">
        <v>903</v>
      </c>
      <c r="E29" s="11" t="s">
        <v>938</v>
      </c>
    </row>
    <row r="30">
      <c r="A30" s="10" t="s">
        <v>939</v>
      </c>
      <c r="B30" s="10" t="s">
        <v>940</v>
      </c>
      <c r="C30" s="10" t="s">
        <v>941</v>
      </c>
      <c r="D30" s="10" t="s">
        <v>784</v>
      </c>
      <c r="E30" s="10"/>
    </row>
    <row r="31">
      <c r="A31" s="11" t="s">
        <v>942</v>
      </c>
      <c r="B31" s="11" t="s">
        <v>943</v>
      </c>
      <c r="C31" s="11" t="s">
        <v>944</v>
      </c>
      <c r="D31" s="11" t="s">
        <v>784</v>
      </c>
      <c r="E31" s="11" t="s">
        <v>945</v>
      </c>
    </row>
    <row r="32">
      <c r="A32" s="10" t="s">
        <v>946</v>
      </c>
      <c r="B32" s="10" t="s">
        <v>947</v>
      </c>
      <c r="C32" s="10" t="s">
        <v>948</v>
      </c>
      <c r="D32" s="10" t="s">
        <v>784</v>
      </c>
      <c r="E32" s="10" t="s">
        <v>949</v>
      </c>
    </row>
    <row r="33">
      <c r="A33" s="16" t="s">
        <v>950</v>
      </c>
      <c r="B33" s="16" t="s">
        <v>951</v>
      </c>
      <c r="C33" s="16" t="s">
        <v>952</v>
      </c>
      <c r="D33" s="17" t="s">
        <v>953</v>
      </c>
      <c r="E33" s="16" t="s">
        <v>954</v>
      </c>
    </row>
    <row r="34">
      <c r="A34" s="10" t="s">
        <v>955</v>
      </c>
      <c r="B34" s="10" t="s">
        <v>956</v>
      </c>
      <c r="C34" s="10" t="s">
        <v>957</v>
      </c>
      <c r="D34" s="10" t="s">
        <v>784</v>
      </c>
      <c r="E34" s="10" t="s">
        <v>958</v>
      </c>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36.75"/>
    <col customWidth="1" min="3" max="3" width="21.0"/>
    <col customWidth="1" min="4" max="4" width="22.75"/>
    <col customWidth="1" min="5" max="5" width="57.75"/>
    <col customWidth="1" min="6" max="26" width="7.63"/>
  </cols>
  <sheetData>
    <row r="1" ht="33.75" customHeight="1">
      <c r="A1" s="5" t="s">
        <v>773</v>
      </c>
      <c r="B1" s="5" t="s">
        <v>775</v>
      </c>
      <c r="C1" s="5" t="s">
        <v>777</v>
      </c>
      <c r="D1" s="5" t="s">
        <v>778</v>
      </c>
      <c r="E1" s="5" t="s">
        <v>780</v>
      </c>
    </row>
    <row r="2">
      <c r="A2" s="10">
        <v>1.0</v>
      </c>
      <c r="B2" s="10" t="s">
        <v>785</v>
      </c>
      <c r="C2" s="10" t="s">
        <v>786</v>
      </c>
      <c r="D2" s="10" t="s">
        <v>787</v>
      </c>
      <c r="E2" s="10" t="s">
        <v>790</v>
      </c>
    </row>
    <row r="3">
      <c r="A3" s="11">
        <v>2.0</v>
      </c>
      <c r="B3" s="11" t="s">
        <v>792</v>
      </c>
      <c r="C3" s="11" t="s">
        <v>793</v>
      </c>
      <c r="D3" s="11" t="s">
        <v>795</v>
      </c>
      <c r="E3" s="11" t="s">
        <v>796</v>
      </c>
    </row>
    <row r="4">
      <c r="A4" s="10">
        <v>3.0</v>
      </c>
      <c r="B4" s="10" t="s">
        <v>797</v>
      </c>
      <c r="C4" s="10" t="s">
        <v>798</v>
      </c>
      <c r="D4" s="10" t="s">
        <v>799</v>
      </c>
      <c r="E4" s="10" t="s">
        <v>800</v>
      </c>
    </row>
    <row r="5">
      <c r="A5" s="11">
        <v>4.0</v>
      </c>
      <c r="B5" s="11" t="s">
        <v>804</v>
      </c>
      <c r="C5" s="11" t="s">
        <v>767</v>
      </c>
      <c r="D5" s="11" t="s">
        <v>805</v>
      </c>
      <c r="E5" s="11" t="s">
        <v>808</v>
      </c>
    </row>
    <row r="6">
      <c r="A6" s="10">
        <v>5.0</v>
      </c>
      <c r="B6" s="10" t="s">
        <v>813</v>
      </c>
      <c r="C6" s="10" t="s">
        <v>815</v>
      </c>
      <c r="D6" s="10" t="s">
        <v>818</v>
      </c>
      <c r="E6" s="10" t="s">
        <v>821</v>
      </c>
    </row>
    <row r="7">
      <c r="A7" s="11">
        <v>6.0</v>
      </c>
      <c r="B7" s="11" t="s">
        <v>829</v>
      </c>
      <c r="C7" s="11" t="s">
        <v>831</v>
      </c>
      <c r="D7" s="11" t="s">
        <v>832</v>
      </c>
      <c r="E7" s="11" t="s">
        <v>834</v>
      </c>
    </row>
    <row r="8">
      <c r="A8" s="10">
        <v>7.0</v>
      </c>
      <c r="B8" s="10" t="s">
        <v>838</v>
      </c>
      <c r="C8" s="10" t="s">
        <v>793</v>
      </c>
      <c r="D8" s="10" t="s">
        <v>840</v>
      </c>
      <c r="E8" s="10" t="s">
        <v>843</v>
      </c>
    </row>
    <row r="9">
      <c r="A9" s="11">
        <v>8.0</v>
      </c>
      <c r="B9" s="11" t="s">
        <v>847</v>
      </c>
      <c r="C9" s="11" t="s">
        <v>850</v>
      </c>
      <c r="D9" s="11" t="s">
        <v>852</v>
      </c>
      <c r="E9" s="11" t="s">
        <v>855</v>
      </c>
    </row>
    <row r="10">
      <c r="A10" s="10">
        <v>9.0</v>
      </c>
      <c r="B10" s="10" t="s">
        <v>860</v>
      </c>
      <c r="C10" s="10" t="s">
        <v>861</v>
      </c>
      <c r="D10" s="10" t="s">
        <v>862</v>
      </c>
      <c r="E10" s="10" t="s">
        <v>864</v>
      </c>
    </row>
    <row r="11">
      <c r="A11" s="11">
        <v>10.0</v>
      </c>
      <c r="B11" s="11" t="s">
        <v>866</v>
      </c>
      <c r="C11" s="11" t="s">
        <v>869</v>
      </c>
      <c r="D11" s="11" t="s">
        <v>871</v>
      </c>
      <c r="E11" s="11" t="s">
        <v>872</v>
      </c>
    </row>
    <row r="12">
      <c r="A12" s="10">
        <v>11.0</v>
      </c>
      <c r="B12" s="10" t="s">
        <v>874</v>
      </c>
      <c r="C12" s="10" t="s">
        <v>876</v>
      </c>
      <c r="D12" s="10" t="s">
        <v>877</v>
      </c>
      <c r="E12" s="10" t="s">
        <v>878</v>
      </c>
    </row>
    <row r="13">
      <c r="A13" s="11">
        <v>12.0</v>
      </c>
      <c r="B13" s="11" t="s">
        <v>881</v>
      </c>
      <c r="C13" s="11" t="s">
        <v>869</v>
      </c>
      <c r="D13" s="11" t="s">
        <v>882</v>
      </c>
      <c r="E13" s="11" t="s">
        <v>884</v>
      </c>
    </row>
    <row r="14">
      <c r="A14" s="10">
        <v>13.0</v>
      </c>
      <c r="B14" s="10" t="s">
        <v>886</v>
      </c>
      <c r="C14" s="10" t="s">
        <v>693</v>
      </c>
      <c r="D14" s="10" t="s">
        <v>889</v>
      </c>
      <c r="E14" s="10" t="s">
        <v>892</v>
      </c>
    </row>
    <row r="15">
      <c r="A15" s="11">
        <v>14.0</v>
      </c>
      <c r="B15" s="11" t="s">
        <v>896</v>
      </c>
      <c r="C15" s="11" t="s">
        <v>876</v>
      </c>
      <c r="D15" s="11" t="s">
        <v>899</v>
      </c>
      <c r="E15" s="11" t="s">
        <v>902</v>
      </c>
    </row>
    <row r="16">
      <c r="A16" s="10">
        <v>15.0</v>
      </c>
      <c r="B16" s="10" t="s">
        <v>907</v>
      </c>
      <c r="C16" s="10" t="s">
        <v>908</v>
      </c>
      <c r="D16" s="10" t="s">
        <v>910</v>
      </c>
      <c r="E16" s="10" t="s">
        <v>912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0"/>
    <col customWidth="1" min="2" max="2" width="25.25"/>
    <col customWidth="1" min="3" max="3" width="44.63"/>
    <col customWidth="1" min="4" max="4" width="23.13"/>
    <col customWidth="1" min="5" max="5" width="55.75"/>
  </cols>
  <sheetData>
    <row r="1">
      <c r="A1" s="18" t="s">
        <v>959</v>
      </c>
      <c r="B1" s="19" t="s">
        <v>960</v>
      </c>
      <c r="C1" s="20"/>
      <c r="D1" s="18" t="s">
        <v>961</v>
      </c>
      <c r="E1" s="18" t="s">
        <v>962</v>
      </c>
      <c r="F1" s="21"/>
      <c r="G1" s="21"/>
      <c r="H1" s="21"/>
      <c r="I1" s="21"/>
      <c r="J1" s="21"/>
      <c r="K1" s="21"/>
      <c r="L1" s="21"/>
      <c r="M1" s="21"/>
      <c r="N1" s="21"/>
      <c r="O1" s="21"/>
      <c r="P1" s="21"/>
      <c r="Q1" s="21"/>
      <c r="R1" s="21"/>
      <c r="S1" s="21"/>
      <c r="T1" s="21"/>
      <c r="U1" s="21"/>
      <c r="V1" s="21"/>
      <c r="W1" s="21"/>
      <c r="X1" s="21"/>
      <c r="Y1" s="21"/>
      <c r="Z1" s="21"/>
      <c r="AA1" s="21"/>
      <c r="AB1" s="21"/>
    </row>
    <row r="2">
      <c r="A2" s="22" t="s">
        <v>963</v>
      </c>
      <c r="B2" s="23"/>
      <c r="C2" s="23"/>
      <c r="D2" s="23" t="s">
        <v>964</v>
      </c>
      <c r="E2" s="22" t="s">
        <v>965</v>
      </c>
      <c r="F2" s="21"/>
      <c r="G2" s="21"/>
      <c r="H2" s="21"/>
      <c r="I2" s="21"/>
      <c r="J2" s="21"/>
      <c r="K2" s="21"/>
      <c r="L2" s="21"/>
      <c r="M2" s="21"/>
      <c r="N2" s="21"/>
      <c r="O2" s="21"/>
      <c r="P2" s="21"/>
      <c r="Q2" s="21"/>
      <c r="R2" s="21"/>
      <c r="S2" s="21"/>
      <c r="T2" s="21"/>
      <c r="U2" s="21"/>
      <c r="V2" s="21"/>
      <c r="W2" s="21"/>
      <c r="X2" s="21"/>
      <c r="Y2" s="21"/>
      <c r="Z2" s="21"/>
      <c r="AA2" s="21"/>
      <c r="AB2" s="21"/>
    </row>
    <row r="3">
      <c r="A3" s="22" t="s">
        <v>966</v>
      </c>
      <c r="B3" s="22" t="s">
        <v>967</v>
      </c>
      <c r="C3" s="24" t="s">
        <v>968</v>
      </c>
      <c r="D3" s="23" t="s">
        <v>969</v>
      </c>
      <c r="E3" s="25" t="s">
        <v>970</v>
      </c>
      <c r="F3" s="21"/>
      <c r="G3" s="21"/>
      <c r="H3" s="21"/>
      <c r="I3" s="21"/>
      <c r="J3" s="21"/>
      <c r="K3" s="21"/>
      <c r="L3" s="21"/>
      <c r="M3" s="21"/>
      <c r="N3" s="21"/>
      <c r="O3" s="21"/>
      <c r="P3" s="21"/>
      <c r="Q3" s="21"/>
      <c r="R3" s="21"/>
      <c r="S3" s="21"/>
      <c r="T3" s="21"/>
      <c r="U3" s="21"/>
      <c r="V3" s="21"/>
      <c r="W3" s="21"/>
      <c r="X3" s="21"/>
      <c r="Y3" s="21"/>
      <c r="Z3" s="21"/>
      <c r="AA3" s="21"/>
      <c r="AB3" s="21"/>
    </row>
    <row r="4">
      <c r="A4" s="23" t="s">
        <v>971</v>
      </c>
      <c r="B4" s="22" t="s">
        <v>972</v>
      </c>
      <c r="C4" s="26"/>
      <c r="D4" s="22" t="s">
        <v>973</v>
      </c>
      <c r="E4" s="22" t="s">
        <v>974</v>
      </c>
      <c r="F4" s="21"/>
      <c r="G4" s="21"/>
      <c r="H4" s="21"/>
      <c r="I4" s="21"/>
      <c r="J4" s="21"/>
      <c r="K4" s="21"/>
      <c r="L4" s="21"/>
      <c r="M4" s="21"/>
      <c r="N4" s="21"/>
      <c r="O4" s="21"/>
      <c r="P4" s="21"/>
      <c r="Q4" s="21"/>
      <c r="R4" s="21"/>
      <c r="S4" s="21"/>
      <c r="T4" s="21"/>
      <c r="U4" s="21"/>
      <c r="V4" s="21"/>
      <c r="W4" s="21"/>
      <c r="X4" s="21"/>
      <c r="Y4" s="21"/>
      <c r="Z4" s="21"/>
      <c r="AA4" s="21"/>
      <c r="AB4" s="21"/>
    </row>
    <row r="5">
      <c r="A5" s="22" t="s">
        <v>975</v>
      </c>
      <c r="B5" s="27"/>
      <c r="C5" s="27"/>
      <c r="D5" s="22" t="s">
        <v>976</v>
      </c>
      <c r="E5" s="22" t="s">
        <v>977</v>
      </c>
      <c r="F5" s="21"/>
      <c r="G5" s="21"/>
      <c r="H5" s="21"/>
      <c r="I5" s="21"/>
      <c r="J5" s="21"/>
      <c r="K5" s="21"/>
      <c r="L5" s="21"/>
      <c r="M5" s="21"/>
      <c r="N5" s="21"/>
      <c r="O5" s="21"/>
      <c r="P5" s="21"/>
      <c r="Q5" s="21"/>
      <c r="R5" s="21"/>
      <c r="S5" s="21"/>
      <c r="T5" s="21"/>
      <c r="U5" s="21"/>
      <c r="V5" s="21"/>
      <c r="W5" s="21"/>
      <c r="X5" s="21"/>
      <c r="Y5" s="21"/>
      <c r="Z5" s="21"/>
      <c r="AA5" s="21"/>
      <c r="AB5" s="21"/>
    </row>
    <row r="6">
      <c r="A6" s="22" t="s">
        <v>978</v>
      </c>
      <c r="B6" s="22" t="s">
        <v>978</v>
      </c>
      <c r="C6" s="27"/>
      <c r="D6" s="22" t="s">
        <v>979</v>
      </c>
      <c r="E6" s="22" t="s">
        <v>980</v>
      </c>
      <c r="F6" s="21"/>
      <c r="G6" s="21"/>
      <c r="H6" s="21"/>
      <c r="I6" s="21"/>
      <c r="J6" s="21"/>
      <c r="K6" s="21"/>
      <c r="L6" s="21"/>
      <c r="M6" s="21"/>
      <c r="N6" s="21"/>
      <c r="O6" s="21"/>
      <c r="P6" s="21"/>
      <c r="Q6" s="21"/>
      <c r="R6" s="21"/>
      <c r="S6" s="21"/>
      <c r="T6" s="21"/>
      <c r="U6" s="21"/>
      <c r="V6" s="21"/>
      <c r="W6" s="21"/>
      <c r="X6" s="21"/>
      <c r="Y6" s="21"/>
      <c r="Z6" s="21"/>
      <c r="AA6" s="21"/>
      <c r="AB6" s="21"/>
    </row>
    <row r="7">
      <c r="A7" s="23" t="s">
        <v>981</v>
      </c>
      <c r="B7" s="22" t="s">
        <v>982</v>
      </c>
      <c r="C7" s="27"/>
      <c r="D7" s="22" t="s">
        <v>983</v>
      </c>
      <c r="E7" s="22" t="s">
        <v>984</v>
      </c>
      <c r="F7" s="21"/>
      <c r="G7" s="21"/>
      <c r="H7" s="21"/>
      <c r="I7" s="21"/>
      <c r="J7" s="21"/>
      <c r="K7" s="21"/>
      <c r="L7" s="21"/>
      <c r="M7" s="21"/>
      <c r="N7" s="21"/>
      <c r="O7" s="21"/>
      <c r="P7" s="21"/>
      <c r="Q7" s="21"/>
      <c r="R7" s="21"/>
      <c r="S7" s="21"/>
      <c r="T7" s="21"/>
      <c r="U7" s="21"/>
      <c r="V7" s="21"/>
      <c r="W7" s="21"/>
      <c r="X7" s="21"/>
      <c r="Y7" s="21"/>
      <c r="Z7" s="21"/>
      <c r="AA7" s="21"/>
      <c r="AB7" s="21"/>
    </row>
    <row r="8">
      <c r="A8" s="22" t="s">
        <v>985</v>
      </c>
      <c r="B8" s="27"/>
      <c r="C8" s="27"/>
      <c r="D8" s="22" t="s">
        <v>986</v>
      </c>
      <c r="E8" s="22" t="s">
        <v>987</v>
      </c>
      <c r="F8" s="21"/>
      <c r="G8" s="21"/>
      <c r="H8" s="21"/>
      <c r="I8" s="21"/>
      <c r="J8" s="21"/>
      <c r="K8" s="21"/>
      <c r="L8" s="21"/>
      <c r="M8" s="21"/>
      <c r="N8" s="21"/>
      <c r="O8" s="21"/>
      <c r="P8" s="21"/>
      <c r="Q8" s="21"/>
      <c r="R8" s="21"/>
      <c r="S8" s="21"/>
      <c r="T8" s="21"/>
      <c r="U8" s="21"/>
      <c r="V8" s="21"/>
      <c r="W8" s="21"/>
      <c r="X8" s="21"/>
      <c r="Y8" s="21"/>
      <c r="Z8" s="21"/>
      <c r="AA8" s="21"/>
      <c r="AB8" s="21"/>
    </row>
    <row r="9">
      <c r="A9" s="23" t="s">
        <v>988</v>
      </c>
      <c r="B9" s="22" t="s">
        <v>989</v>
      </c>
      <c r="C9" s="27"/>
      <c r="D9" s="22" t="s">
        <v>990</v>
      </c>
      <c r="E9" s="22" t="s">
        <v>991</v>
      </c>
      <c r="F9" s="21"/>
      <c r="G9" s="21"/>
      <c r="H9" s="21"/>
      <c r="I9" s="21"/>
      <c r="J9" s="21"/>
      <c r="K9" s="21"/>
      <c r="L9" s="21"/>
      <c r="M9" s="21"/>
      <c r="N9" s="21"/>
      <c r="O9" s="21"/>
      <c r="P9" s="21"/>
      <c r="Q9" s="21"/>
      <c r="R9" s="21"/>
      <c r="S9" s="21"/>
      <c r="T9" s="21"/>
      <c r="U9" s="21"/>
      <c r="V9" s="21"/>
      <c r="W9" s="21"/>
      <c r="X9" s="21"/>
      <c r="Y9" s="21"/>
      <c r="Z9" s="21"/>
      <c r="AA9" s="21"/>
      <c r="AB9" s="21"/>
    </row>
    <row r="10">
      <c r="A10" s="22" t="s">
        <v>992</v>
      </c>
      <c r="B10" s="22" t="s">
        <v>992</v>
      </c>
      <c r="C10" s="27"/>
      <c r="D10" s="22" t="s">
        <v>993</v>
      </c>
      <c r="E10" s="23" t="s">
        <v>994</v>
      </c>
      <c r="F10" s="21"/>
      <c r="G10" s="21"/>
      <c r="H10" s="21"/>
      <c r="I10" s="21"/>
      <c r="J10" s="21"/>
      <c r="K10" s="21"/>
      <c r="L10" s="21"/>
      <c r="M10" s="21"/>
      <c r="N10" s="21"/>
      <c r="O10" s="21"/>
      <c r="P10" s="21"/>
      <c r="Q10" s="21"/>
      <c r="R10" s="21"/>
      <c r="S10" s="21"/>
      <c r="T10" s="21"/>
      <c r="U10" s="21"/>
      <c r="V10" s="21"/>
      <c r="W10" s="21"/>
      <c r="X10" s="21"/>
      <c r="Y10" s="21"/>
      <c r="Z10" s="21"/>
      <c r="AA10" s="21"/>
      <c r="AB10" s="21"/>
    </row>
    <row r="11">
      <c r="A11" s="23" t="s">
        <v>995</v>
      </c>
      <c r="B11" s="22" t="s">
        <v>996</v>
      </c>
      <c r="C11" s="27"/>
      <c r="D11" s="22" t="s">
        <v>997</v>
      </c>
      <c r="E11" s="22" t="s">
        <v>998</v>
      </c>
      <c r="F11" s="21"/>
      <c r="G11" s="21"/>
      <c r="H11" s="21"/>
      <c r="I11" s="21"/>
      <c r="J11" s="21"/>
      <c r="K11" s="21"/>
      <c r="L11" s="21"/>
      <c r="M11" s="21"/>
      <c r="N11" s="21"/>
      <c r="O11" s="21"/>
      <c r="P11" s="21"/>
      <c r="Q11" s="21"/>
      <c r="R11" s="21"/>
      <c r="S11" s="21"/>
      <c r="T11" s="21"/>
      <c r="U11" s="21"/>
      <c r="V11" s="21"/>
      <c r="W11" s="21"/>
      <c r="X11" s="21"/>
      <c r="Y11" s="21"/>
      <c r="Z11" s="21"/>
      <c r="AA11" s="21"/>
      <c r="AB11" s="21"/>
    </row>
    <row r="12">
      <c r="A12" s="27" t="s">
        <v>999</v>
      </c>
      <c r="B12" s="27"/>
      <c r="C12" s="27"/>
      <c r="D12" s="22" t="s">
        <v>1000</v>
      </c>
      <c r="E12" s="22" t="s">
        <v>1001</v>
      </c>
      <c r="F12" s="21"/>
      <c r="G12" s="21"/>
      <c r="H12" s="21"/>
      <c r="I12" s="21"/>
      <c r="J12" s="21"/>
      <c r="K12" s="21"/>
      <c r="L12" s="21"/>
      <c r="M12" s="21"/>
      <c r="N12" s="21"/>
      <c r="O12" s="21"/>
      <c r="P12" s="21"/>
      <c r="Q12" s="21"/>
      <c r="R12" s="21"/>
      <c r="S12" s="21"/>
      <c r="T12" s="21"/>
      <c r="U12" s="21"/>
      <c r="V12" s="21"/>
      <c r="W12" s="21"/>
      <c r="X12" s="21"/>
      <c r="Y12" s="21"/>
      <c r="Z12" s="21"/>
      <c r="AA12" s="21"/>
      <c r="AB12" s="21"/>
    </row>
    <row r="13">
      <c r="A13" s="22" t="s">
        <v>1002</v>
      </c>
      <c r="B13" s="27"/>
      <c r="C13" s="27"/>
      <c r="D13" s="22" t="s">
        <v>1003</v>
      </c>
      <c r="E13" s="22" t="s">
        <v>1004</v>
      </c>
      <c r="F13" s="21"/>
      <c r="G13" s="21"/>
      <c r="H13" s="21"/>
      <c r="I13" s="21"/>
      <c r="J13" s="21"/>
      <c r="K13" s="21"/>
      <c r="L13" s="21"/>
      <c r="M13" s="21"/>
      <c r="N13" s="21"/>
      <c r="O13" s="21"/>
      <c r="P13" s="21"/>
      <c r="Q13" s="21"/>
      <c r="R13" s="21"/>
      <c r="S13" s="21"/>
      <c r="T13" s="21"/>
      <c r="U13" s="21"/>
      <c r="V13" s="21"/>
      <c r="W13" s="21"/>
      <c r="X13" s="21"/>
      <c r="Y13" s="21"/>
      <c r="Z13" s="21"/>
      <c r="AA13" s="21"/>
      <c r="AB13" s="21"/>
    </row>
    <row r="14">
      <c r="A14" s="22" t="s">
        <v>1005</v>
      </c>
      <c r="B14" s="28"/>
      <c r="C14" s="28"/>
      <c r="D14" s="28"/>
      <c r="E14" s="23" t="s">
        <v>1006</v>
      </c>
      <c r="F14" s="21"/>
      <c r="G14" s="21"/>
      <c r="H14" s="21"/>
      <c r="I14" s="21"/>
      <c r="J14" s="21"/>
      <c r="K14" s="21"/>
      <c r="L14" s="21"/>
      <c r="M14" s="21"/>
      <c r="N14" s="21"/>
      <c r="O14" s="21"/>
      <c r="P14" s="21"/>
      <c r="Q14" s="21"/>
      <c r="R14" s="21"/>
      <c r="S14" s="21"/>
      <c r="T14" s="21"/>
      <c r="U14" s="21"/>
      <c r="V14" s="21"/>
      <c r="W14" s="21"/>
      <c r="X14" s="21"/>
      <c r="Y14" s="21"/>
      <c r="Z14" s="21"/>
      <c r="AA14" s="21"/>
      <c r="AB14" s="21"/>
    </row>
    <row r="15">
      <c r="A15" s="22" t="s">
        <v>1007</v>
      </c>
      <c r="B15" s="28"/>
      <c r="C15" s="28"/>
      <c r="D15" s="28"/>
      <c r="E15" s="22" t="s">
        <v>1008</v>
      </c>
      <c r="F15" s="21"/>
      <c r="G15" s="21"/>
      <c r="H15" s="21"/>
      <c r="I15" s="21"/>
      <c r="J15" s="21"/>
      <c r="K15" s="21"/>
      <c r="L15" s="21"/>
      <c r="M15" s="21"/>
      <c r="N15" s="21"/>
      <c r="O15" s="21"/>
      <c r="P15" s="21"/>
      <c r="Q15" s="21"/>
      <c r="R15" s="21"/>
      <c r="S15" s="21"/>
      <c r="T15" s="21"/>
      <c r="U15" s="21"/>
      <c r="V15" s="21"/>
      <c r="W15" s="21"/>
      <c r="X15" s="21"/>
      <c r="Y15" s="21"/>
      <c r="Z15" s="21"/>
      <c r="AA15" s="21"/>
      <c r="AB15" s="21"/>
    </row>
    <row r="16">
      <c r="A16" s="22" t="s">
        <v>1009</v>
      </c>
      <c r="B16" s="28"/>
      <c r="C16" s="28"/>
      <c r="D16" s="28"/>
      <c r="E16" s="22" t="s">
        <v>1010</v>
      </c>
      <c r="F16" s="21"/>
      <c r="G16" s="21"/>
      <c r="H16" s="21"/>
      <c r="I16" s="21"/>
      <c r="J16" s="21"/>
      <c r="K16" s="21"/>
      <c r="L16" s="21"/>
      <c r="M16" s="21"/>
      <c r="N16" s="21"/>
      <c r="O16" s="21"/>
      <c r="P16" s="21"/>
      <c r="Q16" s="21"/>
      <c r="R16" s="21"/>
      <c r="S16" s="21"/>
      <c r="T16" s="21"/>
      <c r="U16" s="21"/>
      <c r="V16" s="21"/>
      <c r="W16" s="21"/>
      <c r="X16" s="21"/>
      <c r="Y16" s="21"/>
      <c r="Z16" s="21"/>
      <c r="AA16" s="21"/>
      <c r="AB16" s="21"/>
    </row>
    <row r="17">
      <c r="A17" s="22" t="s">
        <v>1011</v>
      </c>
      <c r="B17" s="22" t="s">
        <v>1012</v>
      </c>
      <c r="C17" s="28"/>
      <c r="D17" s="28"/>
      <c r="E17" s="22" t="s">
        <v>1013</v>
      </c>
      <c r="F17" s="21"/>
      <c r="G17" s="21"/>
      <c r="H17" s="21"/>
      <c r="I17" s="21"/>
      <c r="J17" s="21"/>
      <c r="K17" s="21"/>
      <c r="L17" s="21"/>
      <c r="M17" s="21"/>
      <c r="N17" s="21"/>
      <c r="O17" s="21"/>
      <c r="P17" s="21"/>
      <c r="Q17" s="21"/>
      <c r="R17" s="21"/>
      <c r="S17" s="21"/>
      <c r="T17" s="21"/>
      <c r="U17" s="21"/>
      <c r="V17" s="21"/>
      <c r="W17" s="21"/>
      <c r="X17" s="21"/>
      <c r="Y17" s="21"/>
      <c r="Z17" s="21"/>
      <c r="AA17" s="21"/>
      <c r="AB17" s="21"/>
    </row>
    <row r="18">
      <c r="A18" s="22" t="s">
        <v>1014</v>
      </c>
      <c r="B18" s="28"/>
      <c r="C18" s="28"/>
      <c r="D18" s="28"/>
      <c r="E18" s="22" t="s">
        <v>1015</v>
      </c>
      <c r="F18" s="21"/>
      <c r="G18" s="21"/>
      <c r="H18" s="21"/>
      <c r="I18" s="21"/>
      <c r="J18" s="21"/>
      <c r="K18" s="21"/>
      <c r="L18" s="21"/>
      <c r="M18" s="21"/>
      <c r="N18" s="21"/>
      <c r="O18" s="21"/>
      <c r="P18" s="21"/>
      <c r="Q18" s="21"/>
      <c r="R18" s="21"/>
      <c r="S18" s="21"/>
      <c r="T18" s="21"/>
      <c r="U18" s="21"/>
      <c r="V18" s="21"/>
      <c r="W18" s="21"/>
      <c r="X18" s="21"/>
      <c r="Y18" s="21"/>
      <c r="Z18" s="21"/>
      <c r="AA18" s="21"/>
      <c r="AB18" s="21"/>
    </row>
    <row r="19">
      <c r="A19" s="23" t="s">
        <v>1016</v>
      </c>
      <c r="B19" s="28"/>
      <c r="C19" s="28"/>
      <c r="D19" s="28"/>
      <c r="E19" s="22" t="s">
        <v>1017</v>
      </c>
      <c r="F19" s="21"/>
      <c r="G19" s="21"/>
      <c r="H19" s="21"/>
      <c r="I19" s="21"/>
      <c r="J19" s="21"/>
      <c r="K19" s="21"/>
      <c r="L19" s="21"/>
      <c r="M19" s="21"/>
      <c r="N19" s="21"/>
      <c r="O19" s="21"/>
      <c r="P19" s="21"/>
      <c r="Q19" s="21"/>
      <c r="R19" s="21"/>
      <c r="S19" s="21"/>
      <c r="T19" s="21"/>
      <c r="U19" s="21"/>
      <c r="V19" s="21"/>
      <c r="W19" s="21"/>
      <c r="X19" s="21"/>
      <c r="Y19" s="21"/>
      <c r="Z19" s="21"/>
      <c r="AA19" s="21"/>
      <c r="AB19" s="21"/>
    </row>
    <row r="20">
      <c r="A20" s="22" t="s">
        <v>1018</v>
      </c>
      <c r="B20" s="28"/>
      <c r="C20" s="28"/>
      <c r="D20" s="28"/>
      <c r="E20" s="22" t="s">
        <v>1019</v>
      </c>
      <c r="F20" s="21"/>
      <c r="G20" s="21"/>
      <c r="H20" s="21"/>
      <c r="I20" s="21"/>
      <c r="J20" s="21"/>
      <c r="K20" s="21"/>
      <c r="L20" s="21"/>
      <c r="M20" s="21"/>
      <c r="N20" s="21"/>
      <c r="O20" s="21"/>
      <c r="P20" s="21"/>
      <c r="Q20" s="21"/>
      <c r="R20" s="21"/>
      <c r="S20" s="21"/>
      <c r="T20" s="21"/>
      <c r="U20" s="21"/>
      <c r="V20" s="21"/>
      <c r="W20" s="21"/>
      <c r="X20" s="21"/>
      <c r="Y20" s="21"/>
      <c r="Z20" s="21"/>
      <c r="AA20" s="21"/>
      <c r="AB20" s="21"/>
    </row>
    <row r="21">
      <c r="A21" s="22" t="s">
        <v>1020</v>
      </c>
      <c r="B21" s="28"/>
      <c r="C21" s="28"/>
      <c r="D21" s="28"/>
      <c r="E21" s="22" t="s">
        <v>1021</v>
      </c>
      <c r="F21" s="21"/>
      <c r="G21" s="21"/>
      <c r="H21" s="21"/>
      <c r="I21" s="21"/>
      <c r="J21" s="21"/>
      <c r="K21" s="21"/>
      <c r="L21" s="21"/>
      <c r="M21" s="21"/>
      <c r="N21" s="21"/>
      <c r="O21" s="21"/>
      <c r="P21" s="21"/>
      <c r="Q21" s="21"/>
      <c r="R21" s="21"/>
      <c r="S21" s="21"/>
      <c r="T21" s="21"/>
      <c r="U21" s="21"/>
      <c r="V21" s="21"/>
      <c r="W21" s="21"/>
      <c r="X21" s="21"/>
      <c r="Y21" s="21"/>
      <c r="Z21" s="21"/>
      <c r="AA21" s="21"/>
      <c r="AB21" s="21"/>
    </row>
    <row r="22">
      <c r="A22" s="22" t="s">
        <v>1022</v>
      </c>
      <c r="B22" s="28"/>
      <c r="C22" s="28"/>
      <c r="D22" s="28"/>
      <c r="E22" s="22" t="s">
        <v>1023</v>
      </c>
      <c r="F22" s="21"/>
      <c r="G22" s="21"/>
      <c r="H22" s="21"/>
      <c r="I22" s="21"/>
      <c r="J22" s="21"/>
      <c r="K22" s="21"/>
      <c r="L22" s="21"/>
      <c r="M22" s="21"/>
      <c r="N22" s="21"/>
      <c r="O22" s="21"/>
      <c r="P22" s="21"/>
      <c r="Q22" s="21"/>
      <c r="R22" s="21"/>
      <c r="S22" s="21"/>
      <c r="T22" s="21"/>
      <c r="U22" s="21"/>
      <c r="V22" s="21"/>
      <c r="W22" s="21"/>
      <c r="X22" s="21"/>
      <c r="Y22" s="21"/>
      <c r="Z22" s="21"/>
      <c r="AA22" s="21"/>
      <c r="AB22" s="21"/>
    </row>
    <row r="23">
      <c r="A23" s="22" t="s">
        <v>1024</v>
      </c>
      <c r="B23" s="28"/>
      <c r="C23" s="28"/>
      <c r="D23" s="28"/>
      <c r="E23" s="28"/>
      <c r="F23" s="21"/>
      <c r="G23" s="21"/>
      <c r="H23" s="21"/>
      <c r="I23" s="21"/>
      <c r="J23" s="21"/>
      <c r="K23" s="21"/>
      <c r="L23" s="21"/>
      <c r="M23" s="21"/>
      <c r="N23" s="21"/>
      <c r="O23" s="21"/>
      <c r="P23" s="21"/>
      <c r="Q23" s="21"/>
      <c r="R23" s="21"/>
      <c r="S23" s="21"/>
      <c r="T23" s="21"/>
      <c r="U23" s="21"/>
      <c r="V23" s="21"/>
      <c r="W23" s="21"/>
      <c r="X23" s="21"/>
      <c r="Y23" s="21"/>
      <c r="Z23" s="21"/>
      <c r="AA23" s="21"/>
      <c r="AB23" s="21"/>
    </row>
    <row r="24">
      <c r="A24" s="29"/>
      <c r="B24" s="29"/>
      <c r="C24" s="29"/>
      <c r="D24" s="29"/>
      <c r="E24" s="29"/>
      <c r="F24" s="21"/>
      <c r="G24" s="21"/>
      <c r="H24" s="21"/>
      <c r="I24" s="21"/>
      <c r="J24" s="21"/>
      <c r="K24" s="21"/>
      <c r="L24" s="21"/>
      <c r="M24" s="21"/>
      <c r="N24" s="21"/>
      <c r="O24" s="21"/>
      <c r="P24" s="21"/>
      <c r="Q24" s="21"/>
      <c r="R24" s="21"/>
      <c r="S24" s="21"/>
      <c r="T24" s="21"/>
      <c r="U24" s="21"/>
      <c r="V24" s="21"/>
      <c r="W24" s="21"/>
      <c r="X24" s="21"/>
      <c r="Y24" s="21"/>
      <c r="Z24" s="21"/>
      <c r="AA24" s="21"/>
      <c r="AB24" s="21"/>
    </row>
    <row r="25">
      <c r="A25" s="29"/>
      <c r="B25" s="29"/>
      <c r="C25" s="29"/>
      <c r="D25" s="29"/>
      <c r="E25" s="29"/>
      <c r="F25" s="21"/>
      <c r="G25" s="21"/>
      <c r="H25" s="21"/>
      <c r="I25" s="21"/>
      <c r="J25" s="21"/>
      <c r="K25" s="21"/>
      <c r="L25" s="21"/>
      <c r="M25" s="21"/>
      <c r="N25" s="21"/>
      <c r="O25" s="21"/>
      <c r="P25" s="21"/>
      <c r="Q25" s="21"/>
      <c r="R25" s="21"/>
      <c r="S25" s="21"/>
      <c r="T25" s="21"/>
      <c r="U25" s="21"/>
      <c r="V25" s="21"/>
      <c r="W25" s="21"/>
      <c r="X25" s="21"/>
      <c r="Y25" s="21"/>
      <c r="Z25" s="21"/>
      <c r="AA25" s="21"/>
      <c r="AB25" s="21"/>
    </row>
    <row r="26">
      <c r="A26" s="29"/>
      <c r="B26" s="29"/>
      <c r="C26" s="29"/>
      <c r="D26" s="29"/>
      <c r="E26" s="29"/>
      <c r="F26" s="21"/>
      <c r="G26" s="21"/>
      <c r="H26" s="21"/>
      <c r="I26" s="21"/>
      <c r="J26" s="21"/>
      <c r="K26" s="21"/>
      <c r="L26" s="21"/>
      <c r="M26" s="21"/>
      <c r="N26" s="21"/>
      <c r="O26" s="21"/>
      <c r="P26" s="21"/>
      <c r="Q26" s="21"/>
      <c r="R26" s="21"/>
      <c r="S26" s="21"/>
      <c r="T26" s="21"/>
      <c r="U26" s="21"/>
      <c r="V26" s="21"/>
      <c r="W26" s="21"/>
      <c r="X26" s="21"/>
      <c r="Y26" s="21"/>
      <c r="Z26" s="21"/>
      <c r="AA26" s="21"/>
      <c r="AB26" s="21"/>
    </row>
    <row r="27">
      <c r="A27" s="29"/>
      <c r="B27" s="29"/>
      <c r="C27" s="29"/>
      <c r="D27" s="29"/>
      <c r="E27" s="29"/>
      <c r="F27" s="21"/>
      <c r="G27" s="21"/>
      <c r="H27" s="21"/>
      <c r="I27" s="21"/>
      <c r="J27" s="21"/>
      <c r="K27" s="21"/>
      <c r="L27" s="21"/>
      <c r="M27" s="21"/>
      <c r="N27" s="21"/>
      <c r="O27" s="21"/>
      <c r="P27" s="21"/>
      <c r="Q27" s="21"/>
      <c r="R27" s="21"/>
      <c r="S27" s="21"/>
      <c r="T27" s="21"/>
      <c r="U27" s="21"/>
      <c r="V27" s="21"/>
      <c r="W27" s="21"/>
      <c r="X27" s="21"/>
      <c r="Y27" s="21"/>
      <c r="Z27" s="21"/>
      <c r="AA27" s="21"/>
      <c r="AB27" s="21"/>
    </row>
    <row r="28">
      <c r="A28" s="29"/>
      <c r="B28" s="29"/>
      <c r="C28" s="29"/>
      <c r="D28" s="29"/>
      <c r="E28" s="29"/>
      <c r="F28" s="21"/>
      <c r="G28" s="21"/>
      <c r="H28" s="21"/>
      <c r="I28" s="21"/>
      <c r="J28" s="21"/>
      <c r="K28" s="21"/>
      <c r="L28" s="21"/>
      <c r="M28" s="21"/>
      <c r="N28" s="21"/>
      <c r="O28" s="21"/>
      <c r="P28" s="21"/>
      <c r="Q28" s="21"/>
      <c r="R28" s="21"/>
      <c r="S28" s="21"/>
      <c r="T28" s="21"/>
      <c r="U28" s="21"/>
      <c r="V28" s="21"/>
      <c r="W28" s="21"/>
      <c r="X28" s="21"/>
      <c r="Y28" s="21"/>
      <c r="Z28" s="21"/>
      <c r="AA28" s="21"/>
      <c r="AB28" s="21"/>
    </row>
    <row r="29">
      <c r="A29" s="29"/>
      <c r="B29" s="29"/>
      <c r="C29" s="29"/>
      <c r="D29" s="29"/>
      <c r="E29" s="29"/>
      <c r="F29" s="21"/>
      <c r="G29" s="21"/>
      <c r="H29" s="21"/>
      <c r="I29" s="21"/>
      <c r="J29" s="21"/>
      <c r="K29" s="21"/>
      <c r="L29" s="21"/>
      <c r="M29" s="21"/>
      <c r="N29" s="21"/>
      <c r="O29" s="21"/>
      <c r="P29" s="21"/>
      <c r="Q29" s="21"/>
      <c r="R29" s="21"/>
      <c r="S29" s="21"/>
      <c r="T29" s="21"/>
      <c r="U29" s="21"/>
      <c r="V29" s="21"/>
      <c r="W29" s="21"/>
      <c r="X29" s="21"/>
      <c r="Y29" s="21"/>
      <c r="Z29" s="21"/>
      <c r="AA29" s="21"/>
      <c r="AB29" s="21"/>
    </row>
    <row r="30">
      <c r="A30" s="29"/>
      <c r="B30" s="29"/>
      <c r="C30" s="29"/>
      <c r="D30" s="29"/>
      <c r="E30" s="29"/>
      <c r="F30" s="21"/>
      <c r="G30" s="21"/>
      <c r="H30" s="21"/>
      <c r="I30" s="21"/>
      <c r="J30" s="21"/>
      <c r="K30" s="21"/>
      <c r="L30" s="21"/>
      <c r="M30" s="21"/>
      <c r="N30" s="21"/>
      <c r="O30" s="21"/>
      <c r="P30" s="21"/>
      <c r="Q30" s="21"/>
      <c r="R30" s="21"/>
      <c r="S30" s="21"/>
      <c r="T30" s="21"/>
      <c r="U30" s="21"/>
      <c r="V30" s="21"/>
      <c r="W30" s="21"/>
      <c r="X30" s="21"/>
      <c r="Y30" s="21"/>
      <c r="Z30" s="21"/>
      <c r="AA30" s="21"/>
      <c r="AB30" s="21"/>
    </row>
    <row r="31">
      <c r="A31" s="29"/>
      <c r="B31" s="29"/>
      <c r="C31" s="29"/>
      <c r="D31" s="29"/>
      <c r="E31" s="29"/>
      <c r="F31" s="21"/>
      <c r="G31" s="21"/>
      <c r="H31" s="21"/>
      <c r="I31" s="21"/>
      <c r="J31" s="21"/>
      <c r="K31" s="21"/>
      <c r="L31" s="21"/>
      <c r="M31" s="21"/>
      <c r="N31" s="21"/>
      <c r="O31" s="21"/>
      <c r="P31" s="21"/>
      <c r="Q31" s="21"/>
      <c r="R31" s="21"/>
      <c r="S31" s="21"/>
      <c r="T31" s="21"/>
      <c r="U31" s="21"/>
      <c r="V31" s="21"/>
      <c r="W31" s="21"/>
      <c r="X31" s="21"/>
      <c r="Y31" s="21"/>
      <c r="Z31" s="21"/>
      <c r="AA31" s="21"/>
      <c r="AB31" s="21"/>
    </row>
    <row r="32">
      <c r="A32" s="29"/>
      <c r="B32" s="29"/>
      <c r="C32" s="29"/>
      <c r="D32" s="29"/>
      <c r="E32" s="29"/>
      <c r="F32" s="21"/>
      <c r="G32" s="21"/>
      <c r="H32" s="21"/>
      <c r="I32" s="21"/>
      <c r="J32" s="21"/>
      <c r="K32" s="21"/>
      <c r="L32" s="21"/>
      <c r="M32" s="21"/>
      <c r="N32" s="21"/>
      <c r="O32" s="21"/>
      <c r="P32" s="21"/>
      <c r="Q32" s="21"/>
      <c r="R32" s="21"/>
      <c r="S32" s="21"/>
      <c r="T32" s="21"/>
      <c r="U32" s="21"/>
      <c r="V32" s="21"/>
      <c r="W32" s="21"/>
      <c r="X32" s="21"/>
      <c r="Y32" s="21"/>
      <c r="Z32" s="21"/>
      <c r="AA32" s="21"/>
      <c r="AB32" s="21"/>
    </row>
    <row r="33">
      <c r="A33" s="29"/>
      <c r="B33" s="29"/>
      <c r="C33" s="29"/>
      <c r="D33" s="29"/>
      <c r="E33" s="29"/>
      <c r="F33" s="21"/>
      <c r="G33" s="21"/>
      <c r="H33" s="21"/>
      <c r="I33" s="21"/>
      <c r="J33" s="21"/>
      <c r="K33" s="21"/>
      <c r="L33" s="21"/>
      <c r="M33" s="21"/>
      <c r="N33" s="21"/>
      <c r="O33" s="21"/>
      <c r="P33" s="21"/>
      <c r="Q33" s="21"/>
      <c r="R33" s="21"/>
      <c r="S33" s="21"/>
      <c r="T33" s="21"/>
      <c r="U33" s="21"/>
      <c r="V33" s="21"/>
      <c r="W33" s="21"/>
      <c r="X33" s="21"/>
      <c r="Y33" s="21"/>
      <c r="Z33" s="21"/>
      <c r="AA33" s="21"/>
      <c r="AB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row>
  </sheetData>
  <mergeCells count="2">
    <mergeCell ref="B1:C1"/>
    <mergeCell ref="C3:C4"/>
  </mergeCells>
  <hyperlinks>
    <hyperlink r:id="rId4" ref="A2"/>
    <hyperlink r:id="rId5" ref="E2"/>
    <hyperlink r:id="rId6" ref="A3"/>
    <hyperlink r:id="rId7" ref="B3"/>
    <hyperlink r:id="rId8" ref="E3"/>
    <hyperlink r:id="rId9" ref="B4"/>
    <hyperlink r:id="rId10" ref="D4"/>
    <hyperlink r:id="rId11" ref="E4"/>
    <hyperlink r:id="rId12" ref="A5"/>
    <hyperlink r:id="rId13" ref="D5"/>
    <hyperlink r:id="rId14" ref="E5"/>
    <hyperlink r:id="rId15" ref="A6"/>
    <hyperlink r:id="rId16" ref="B6"/>
    <hyperlink r:id="rId17" ref="D6"/>
    <hyperlink r:id="rId18" ref="E6"/>
    <hyperlink r:id="rId19" ref="B7"/>
    <hyperlink r:id="rId20" ref="D7"/>
    <hyperlink r:id="rId21" ref="E7"/>
    <hyperlink r:id="rId22" ref="A8"/>
    <hyperlink r:id="rId23" ref="D8"/>
    <hyperlink r:id="rId24" ref="E8"/>
    <hyperlink r:id="rId25" ref="B9"/>
    <hyperlink r:id="rId26" ref="D9"/>
    <hyperlink r:id="rId27" ref="E9"/>
    <hyperlink r:id="rId28" ref="A10"/>
    <hyperlink r:id="rId29" ref="B10"/>
    <hyperlink r:id="rId30" ref="D10"/>
    <hyperlink r:id="rId31" ref="B11"/>
    <hyperlink r:id="rId32" ref="D11"/>
    <hyperlink r:id="rId33" ref="E11"/>
    <hyperlink r:id="rId34" ref="D12"/>
    <hyperlink r:id="rId35" ref="E12"/>
    <hyperlink r:id="rId36" ref="A13"/>
    <hyperlink r:id="rId37" ref="D13"/>
    <hyperlink r:id="rId38" ref="E13"/>
    <hyperlink r:id="rId39" ref="A14"/>
    <hyperlink r:id="rId40" ref="A15"/>
    <hyperlink r:id="rId41" ref="E15"/>
    <hyperlink r:id="rId42" ref="A16"/>
    <hyperlink r:id="rId43" ref="E16"/>
    <hyperlink r:id="rId44" ref="A17"/>
    <hyperlink r:id="rId45" ref="B17"/>
    <hyperlink r:id="rId46" ref="E17"/>
    <hyperlink r:id="rId47" ref="A18"/>
    <hyperlink r:id="rId48" ref="E18"/>
    <hyperlink r:id="rId49" ref="E19"/>
    <hyperlink r:id="rId50" ref="A20"/>
    <hyperlink r:id="rId51" ref="E20"/>
    <hyperlink r:id="rId52" ref="A21"/>
    <hyperlink r:id="rId53" ref="E21"/>
    <hyperlink r:id="rId54" ref="A22"/>
    <hyperlink r:id="rId55" ref="E22"/>
    <hyperlink r:id="rId56" ref="A23"/>
  </hyperlinks>
  <drawing r:id="rId57"/>
  <legacyDrawing r:id="rId58"/>
</worksheet>
</file>